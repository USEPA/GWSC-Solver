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F:\Jacob\GEMM\GSC\"/>
    </mc:Choice>
  </mc:AlternateContent>
  <xr:revisionPtr revIDLastSave="0" documentId="13_ncr:1_{C7303F28-2885-407A-B193-6B3E3D967A2D}" xr6:coauthVersionLast="40" xr6:coauthVersionMax="40" xr10:uidLastSave="{00000000-0000-0000-0000-000000000000}"/>
  <bookViews>
    <workbookView xWindow="0" yWindow="0" windowWidth="20445" windowHeight="9420" activeTab="4" xr2:uid="{00000000-000D-0000-FFFF-FFFF00000000}"/>
  </bookViews>
  <sheets>
    <sheet name="Read.Me" sheetId="4" r:id="rId1"/>
    <sheet name="Tutorial" sheetId="6" r:id="rId2"/>
    <sheet name="Hatch" sheetId="2" r:id="rId3"/>
    <sheet name="McCallum" sheetId="1" r:id="rId4"/>
    <sheet name="TestData" sheetId="5" r:id="rId5"/>
    <sheet name="ParameterReference" sheetId="12" r:id="rId6"/>
    <sheet name="Contacts" sheetId="11" r:id="rId7"/>
  </sheets>
  <definedNames>
    <definedName name="solver_adj" localSheetId="2" hidden="1">Hatch!$X$38</definedName>
    <definedName name="solver_adj" localSheetId="3" hidden="1">McCallum!$J$20,McCallum!$K$20,McCallum!$L$20,McCallum!$J$21,McCallum!$K$21,McCallum!$J$22,McCallum!$K$22,McCallum!$J$23,McCallum!$K$23</definedName>
    <definedName name="solver_cvg" localSheetId="2" hidden="1">0.0000001</definedName>
    <definedName name="solver_cvg" localSheetId="3" hidden="1">0.0000001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est" localSheetId="2" hidden="1">1</definedName>
    <definedName name="solver_est" localSheetId="3" hidden="1">1</definedName>
    <definedName name="solver_itr" localSheetId="2" hidden="1">32760</definedName>
    <definedName name="solver_itr" localSheetId="3" hidden="1">32760</definedName>
    <definedName name="solver_lin" localSheetId="2" hidden="1">2</definedName>
    <definedName name="solver_lin" localSheetId="3" hidden="1">2</definedName>
    <definedName name="solver_neg" localSheetId="2" hidden="1">2</definedName>
    <definedName name="solver_neg" localSheetId="3" hidden="1">2</definedName>
    <definedName name="solver_num" localSheetId="2" hidden="1">0</definedName>
    <definedName name="solver_num" localSheetId="3" hidden="1">0</definedName>
    <definedName name="solver_nwt" localSheetId="2" hidden="1">1</definedName>
    <definedName name="solver_nwt" localSheetId="3" hidden="1">1</definedName>
    <definedName name="solver_opt" localSheetId="2" hidden="1">Hatch!$X$39</definedName>
    <definedName name="solver_opt" localSheetId="3" hidden="1">McCallum!$I$13</definedName>
    <definedName name="solver_pre" localSheetId="2" hidden="1">0.0000001</definedName>
    <definedName name="solver_pre" localSheetId="3" hidden="1">0.0000001</definedName>
    <definedName name="solver_scl" localSheetId="2" hidden="1">1</definedName>
    <definedName name="solver_scl" localSheetId="3" hidden="1">1</definedName>
    <definedName name="solver_sho" localSheetId="2" hidden="1">2</definedName>
    <definedName name="solver_sho" localSheetId="3" hidden="1">2</definedName>
    <definedName name="solver_tim" localSheetId="2" hidden="1">32760</definedName>
    <definedName name="solver_tim" localSheetId="3" hidden="1">32760</definedName>
    <definedName name="solver_tol" localSheetId="2" hidden="1">0.02</definedName>
    <definedName name="solver_tol" localSheetId="3" hidden="1">0.02</definedName>
    <definedName name="solver_typ" localSheetId="2" hidden="1">3</definedName>
    <definedName name="solver_typ" localSheetId="3" hidden="1">3</definedName>
    <definedName name="solver_val" localSheetId="2" hidden="1">0</definedName>
    <definedName name="solver_val" localSheetId="3" hidden="1">0</definedName>
    <definedName name="solver_ver" localSheetId="2" hidden="1">3</definedName>
    <definedName name="solver_ver" localSheetId="3" hidden="1">3</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39" i="2" l="1"/>
  <c r="F15" i="2"/>
  <c r="H15" i="1"/>
  <c r="I15" i="1"/>
  <c r="H16" i="1"/>
  <c r="I16" i="1"/>
  <c r="H17" i="1"/>
  <c r="I17" i="1"/>
  <c r="H18" i="1"/>
  <c r="I18" i="1"/>
  <c r="H19" i="1"/>
  <c r="I19" i="1"/>
  <c r="H20" i="1"/>
  <c r="I20" i="1"/>
  <c r="H21" i="1"/>
  <c r="I21" i="1"/>
  <c r="H22" i="1"/>
  <c r="I22" i="1"/>
  <c r="H23" i="1"/>
  <c r="I23" i="1"/>
  <c r="H24" i="1"/>
  <c r="I24" i="1"/>
  <c r="H25" i="1"/>
  <c r="I25" i="1"/>
  <c r="H26" i="1"/>
  <c r="I26" i="1"/>
  <c r="H27" i="1"/>
  <c r="I27" i="1"/>
  <c r="H28" i="1"/>
  <c r="I28" i="1"/>
  <c r="H29" i="1"/>
  <c r="I29" i="1"/>
  <c r="H30" i="1"/>
  <c r="I30" i="1"/>
  <c r="H31" i="1"/>
  <c r="I31" i="1"/>
  <c r="H32" i="1"/>
  <c r="I32" i="1"/>
  <c r="H33" i="1"/>
  <c r="I33" i="1"/>
  <c r="H34" i="1"/>
  <c r="I34" i="1"/>
  <c r="H35" i="1"/>
  <c r="I35" i="1"/>
  <c r="H36" i="1"/>
  <c r="I36" i="1"/>
  <c r="H37" i="1"/>
  <c r="I37" i="1"/>
  <c r="H38" i="1"/>
  <c r="I38" i="1"/>
  <c r="H39" i="1"/>
  <c r="I39" i="1"/>
  <c r="I13" i="1"/>
  <c r="F15" i="1"/>
  <c r="G15" i="1"/>
  <c r="F16" i="1"/>
  <c r="G16" i="1"/>
  <c r="F17" i="1"/>
  <c r="G17" i="1"/>
  <c r="F18" i="1"/>
  <c r="G18" i="1"/>
  <c r="F19" i="1"/>
  <c r="G19" i="1"/>
  <c r="F20" i="1"/>
  <c r="G20" i="1"/>
  <c r="F21" i="1"/>
  <c r="G21" i="1"/>
  <c r="F22" i="1"/>
  <c r="G22" i="1"/>
  <c r="F23" i="1"/>
  <c r="G23" i="1"/>
  <c r="F24" i="1"/>
  <c r="G24" i="1"/>
  <c r="F25" i="1"/>
  <c r="G25" i="1"/>
  <c r="F26" i="1"/>
  <c r="G26" i="1"/>
  <c r="F27" i="1"/>
  <c r="G27" i="1"/>
  <c r="F28" i="1"/>
  <c r="G28" i="1"/>
  <c r="F29" i="1"/>
  <c r="G29" i="1"/>
  <c r="F30" i="1"/>
  <c r="G30" i="1"/>
  <c r="F31" i="1"/>
  <c r="G31" i="1"/>
  <c r="F32" i="1"/>
  <c r="G32" i="1"/>
  <c r="F33" i="1"/>
  <c r="G33" i="1"/>
  <c r="F34" i="1"/>
  <c r="G34" i="1"/>
  <c r="F35" i="1"/>
  <c r="G35" i="1"/>
  <c r="F36" i="1"/>
  <c r="G36" i="1"/>
  <c r="F37" i="1"/>
  <c r="G37" i="1"/>
  <c r="F38" i="1"/>
  <c r="G38" i="1"/>
  <c r="F39" i="1"/>
  <c r="G39" i="1"/>
  <c r="G13" i="1"/>
  <c r="H15" i="2"/>
  <c r="I15" i="2"/>
  <c r="H16" i="2"/>
  <c r="I16" i="2"/>
  <c r="H17" i="2"/>
  <c r="I17" i="2"/>
  <c r="H18" i="2"/>
  <c r="I18" i="2"/>
  <c r="H19" i="2"/>
  <c r="I19" i="2"/>
  <c r="H20" i="2"/>
  <c r="I20" i="2"/>
  <c r="H21" i="2"/>
  <c r="I21" i="2"/>
  <c r="H22" i="2"/>
  <c r="I22" i="2"/>
  <c r="H23" i="2"/>
  <c r="I23" i="2"/>
  <c r="H24" i="2"/>
  <c r="I24" i="2"/>
  <c r="H25" i="2"/>
  <c r="I25" i="2"/>
  <c r="H26" i="2"/>
  <c r="I26" i="2"/>
  <c r="H27" i="2"/>
  <c r="I27" i="2"/>
  <c r="H28" i="2"/>
  <c r="I28" i="2"/>
  <c r="H29" i="2"/>
  <c r="I29" i="2"/>
  <c r="H30" i="2"/>
  <c r="I30" i="2"/>
  <c r="H31" i="2"/>
  <c r="I31" i="2"/>
  <c r="H32" i="2"/>
  <c r="I32" i="2"/>
  <c r="H33" i="2"/>
  <c r="I33" i="2"/>
  <c r="H34" i="2"/>
  <c r="I34" i="2"/>
  <c r="H35" i="2"/>
  <c r="I35" i="2"/>
  <c r="H36" i="2"/>
  <c r="I36" i="2"/>
  <c r="H37" i="2"/>
  <c r="I37" i="2"/>
  <c r="H38" i="2"/>
  <c r="I38" i="2"/>
  <c r="H39" i="2"/>
  <c r="I39" i="2"/>
  <c r="I13" i="2"/>
  <c r="G15" i="2"/>
  <c r="F16" i="2"/>
  <c r="G16" i="2"/>
  <c r="F17" i="2"/>
  <c r="G17" i="2"/>
  <c r="F18" i="2"/>
  <c r="G18" i="2"/>
  <c r="F19" i="2"/>
  <c r="G19" i="2"/>
  <c r="F20" i="2"/>
  <c r="G20" i="2"/>
  <c r="F21" i="2"/>
  <c r="G21" i="2"/>
  <c r="F22" i="2"/>
  <c r="G22" i="2"/>
  <c r="F23" i="2"/>
  <c r="G23" i="2"/>
  <c r="F24" i="2"/>
  <c r="G24" i="2"/>
  <c r="F25" i="2"/>
  <c r="G25" i="2"/>
  <c r="F26" i="2"/>
  <c r="G26" i="2"/>
  <c r="F27" i="2"/>
  <c r="G27" i="2"/>
  <c r="F28" i="2"/>
  <c r="G28" i="2"/>
  <c r="F29" i="2"/>
  <c r="G29" i="2"/>
  <c r="F30" i="2"/>
  <c r="G30" i="2"/>
  <c r="F31" i="2"/>
  <c r="G31" i="2"/>
  <c r="F32" i="2"/>
  <c r="G32" i="2"/>
  <c r="F33" i="2"/>
  <c r="G33" i="2"/>
  <c r="F34" i="2"/>
  <c r="G34" i="2"/>
  <c r="F35" i="2"/>
  <c r="G35" i="2"/>
  <c r="F36" i="2"/>
  <c r="G36" i="2"/>
  <c r="F37" i="2"/>
  <c r="G37" i="2"/>
  <c r="F38" i="2"/>
  <c r="G38" i="2"/>
  <c r="F39" i="2"/>
  <c r="G39" i="2"/>
  <c r="G13" i="2"/>
  <c r="A1" i="2" a="1"/>
  <c r="A1"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1" i="1" a="1"/>
  <c r="A1" i="1"/>
  <c r="A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U10" i="2"/>
  <c r="U19" i="2"/>
  <c r="AA1" i="2" a="1"/>
  <c r="AA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B1" i="2" a="1"/>
  <c r="B1" i="2"/>
  <c r="C1" i="2"/>
  <c r="D1" i="2"/>
  <c r="E1" i="2"/>
  <c r="F1" i="2"/>
  <c r="G1" i="2"/>
  <c r="H1" i="2"/>
  <c r="I1" i="2"/>
  <c r="J1" i="2"/>
  <c r="K1" i="2"/>
  <c r="L1" i="2"/>
  <c r="M1" i="2"/>
  <c r="N1" i="2"/>
  <c r="O1" i="2"/>
  <c r="P1" i="2"/>
  <c r="Q1" i="2"/>
  <c r="R1" i="2"/>
  <c r="S1" i="2"/>
  <c r="T1" i="2"/>
  <c r="U1" i="2"/>
  <c r="V1" i="2"/>
  <c r="W1" i="2"/>
  <c r="X1" i="2"/>
  <c r="Y1" i="2"/>
  <c r="Z1" i="2"/>
  <c r="U19" i="1"/>
  <c r="U10" i="1"/>
  <c r="AA1" i="1" a="1"/>
  <c r="AA1" i="1"/>
  <c r="AA2"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B1" i="1" a="1"/>
  <c r="B1" i="1"/>
  <c r="C1" i="1"/>
  <c r="D1" i="1"/>
  <c r="E1" i="1"/>
  <c r="F1" i="1"/>
  <c r="G1" i="1"/>
  <c r="H1" i="1"/>
  <c r="I1" i="1"/>
  <c r="J1" i="1"/>
  <c r="K1" i="1"/>
  <c r="L1" i="1"/>
  <c r="M1" i="1"/>
  <c r="N1" i="1"/>
  <c r="O1" i="1"/>
  <c r="P1" i="1"/>
  <c r="Q1" i="1"/>
  <c r="R1" i="1"/>
  <c r="S1" i="1"/>
  <c r="T1" i="1"/>
  <c r="U1" i="1"/>
  <c r="V1" i="1"/>
  <c r="W1" i="1"/>
  <c r="X1" i="1"/>
  <c r="Y1" i="1"/>
  <c r="Z1" i="1"/>
  <c r="F13" i="2"/>
  <c r="H13" i="2"/>
  <c r="F13" i="1"/>
  <c r="H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O2" authorId="0" shapeId="0" xr:uid="{00000000-0006-0000-0200-000001000000}">
      <text>
        <r>
          <rPr>
            <b/>
            <sz val="9"/>
            <color indexed="81"/>
            <rFont val="Tahoma"/>
            <family val="2"/>
          </rPr>
          <t>Porosity</t>
        </r>
        <r>
          <rPr>
            <sz val="9"/>
            <color indexed="81"/>
            <rFont val="Tahoma"/>
            <family val="2"/>
          </rPr>
          <t xml:space="preserve">
</t>
        </r>
      </text>
    </comment>
    <comment ref="S2" authorId="0" shapeId="0" xr:uid="{00000000-0006-0000-0200-000002000000}">
      <text>
        <r>
          <rPr>
            <b/>
            <sz val="9"/>
            <color indexed="81"/>
            <rFont val="Tahoma"/>
            <family val="2"/>
          </rPr>
          <t>Effective Thermal conductivity</t>
        </r>
      </text>
    </comment>
    <comment ref="O4" authorId="0" shapeId="0" xr:uid="{00000000-0006-0000-0200-000003000000}">
      <text>
        <r>
          <rPr>
            <b/>
            <sz val="9"/>
            <color indexed="81"/>
            <rFont val="Tahoma"/>
            <family val="2"/>
          </rPr>
          <t>Heat capacity of fluid</t>
        </r>
        <r>
          <rPr>
            <sz val="9"/>
            <color indexed="81"/>
            <rFont val="Tahoma"/>
            <family val="2"/>
          </rPr>
          <t xml:space="preserve">
</t>
        </r>
      </text>
    </comment>
    <comment ref="S4" authorId="0" shapeId="0" xr:uid="{00000000-0006-0000-0200-000004000000}">
      <text>
        <r>
          <rPr>
            <b/>
            <sz val="9"/>
            <color indexed="81"/>
            <rFont val="Tahoma"/>
            <family val="2"/>
          </rPr>
          <t>Thermal dispersivity</t>
        </r>
        <r>
          <rPr>
            <sz val="9"/>
            <color indexed="81"/>
            <rFont val="Tahoma"/>
            <family val="2"/>
          </rPr>
          <t xml:space="preserve">
</t>
        </r>
      </text>
    </comment>
    <comment ref="O6" authorId="0" shapeId="0" xr:uid="{00000000-0006-0000-0200-000005000000}">
      <text>
        <r>
          <rPr>
            <b/>
            <sz val="9"/>
            <color indexed="81"/>
            <rFont val="Tahoma"/>
            <family val="2"/>
          </rPr>
          <t>Heat capacity of solid</t>
        </r>
        <r>
          <rPr>
            <sz val="9"/>
            <color indexed="81"/>
            <rFont val="Tahoma"/>
            <family val="2"/>
          </rPr>
          <t xml:space="preserve">
</t>
        </r>
      </text>
    </comment>
    <comment ref="X12" authorId="0" shapeId="0" xr:uid="{00000000-0006-0000-0200-000006000000}">
      <text>
        <r>
          <rPr>
            <b/>
            <sz val="9"/>
            <color indexed="81"/>
            <rFont val="Tahoma"/>
            <family val="2"/>
          </rPr>
          <t>Seepage flux;
Darcy's velocity</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O2" authorId="0" shapeId="0" xr:uid="{00000000-0006-0000-0300-000001000000}">
      <text>
        <r>
          <rPr>
            <b/>
            <sz val="9"/>
            <color indexed="81"/>
            <rFont val="Tahoma"/>
            <family val="2"/>
          </rPr>
          <t>Porosity</t>
        </r>
        <r>
          <rPr>
            <sz val="9"/>
            <color indexed="81"/>
            <rFont val="Tahoma"/>
            <family val="2"/>
          </rPr>
          <t xml:space="preserve">
</t>
        </r>
      </text>
    </comment>
    <comment ref="O4" authorId="0" shapeId="0" xr:uid="{00000000-0006-0000-0300-000002000000}">
      <text>
        <r>
          <rPr>
            <b/>
            <sz val="9"/>
            <color indexed="81"/>
            <rFont val="Tahoma"/>
            <family val="2"/>
          </rPr>
          <t>Heat capacity of fluid</t>
        </r>
      </text>
    </comment>
    <comment ref="O6" authorId="0" shapeId="0" xr:uid="{00000000-0006-0000-0300-000003000000}">
      <text>
        <r>
          <rPr>
            <b/>
            <sz val="9"/>
            <color indexed="81"/>
            <rFont val="Tahoma"/>
            <family val="2"/>
          </rPr>
          <t>Heat capacity of solid</t>
        </r>
        <r>
          <rPr>
            <sz val="9"/>
            <color indexed="81"/>
            <rFont val="Tahoma"/>
            <family val="2"/>
          </rPr>
          <t xml:space="preserve">
</t>
        </r>
      </text>
    </comment>
    <comment ref="O8" authorId="0" shapeId="0" xr:uid="{00000000-0006-0000-0300-000004000000}">
      <text>
        <r>
          <rPr>
            <b/>
            <sz val="9"/>
            <color indexed="81"/>
            <rFont val="Tahoma"/>
            <family val="2"/>
          </rPr>
          <t>Thermal dispersivity</t>
        </r>
        <r>
          <rPr>
            <sz val="9"/>
            <color indexed="81"/>
            <rFont val="Tahoma"/>
            <family val="2"/>
          </rPr>
          <t xml:space="preserve">
</t>
        </r>
      </text>
    </comment>
    <comment ref="X12" authorId="0" shapeId="0" xr:uid="{00000000-0006-0000-0300-000005000000}">
      <text>
        <r>
          <rPr>
            <b/>
            <sz val="9"/>
            <color indexed="81"/>
            <rFont val="Tahoma"/>
            <family val="2"/>
          </rPr>
          <t>Seepage flux;
Darcy's velocity</t>
        </r>
        <r>
          <rPr>
            <sz val="9"/>
            <color indexed="81"/>
            <rFont val="Tahoma"/>
            <family val="2"/>
          </rPr>
          <t xml:space="preserve">
</t>
        </r>
      </text>
    </comment>
    <comment ref="X30" authorId="0" shapeId="0" xr:uid="{00000000-0006-0000-0300-000006000000}">
      <text>
        <r>
          <rPr>
            <b/>
            <sz val="9"/>
            <color indexed="81"/>
            <rFont val="Tahoma"/>
            <family val="2"/>
          </rPr>
          <t>Effective thermal diffusivity</t>
        </r>
        <r>
          <rPr>
            <sz val="9"/>
            <color indexed="81"/>
            <rFont val="Tahoma"/>
            <family val="2"/>
          </rPr>
          <t xml:space="preserve">
</t>
        </r>
      </text>
    </comment>
    <comment ref="X32" authorId="0" shapeId="0" xr:uid="{00000000-0006-0000-0300-000007000000}">
      <text>
        <r>
          <rPr>
            <b/>
            <sz val="9"/>
            <color indexed="81"/>
            <rFont val="Tahoma"/>
            <family val="2"/>
          </rPr>
          <t>Effective thermal conductivity</t>
        </r>
        <r>
          <rPr>
            <sz val="9"/>
            <color indexed="81"/>
            <rFont val="Tahoma"/>
            <family val="2"/>
          </rPr>
          <t xml:space="preserve">
</t>
        </r>
      </text>
    </comment>
  </commentList>
</comments>
</file>

<file path=xl/sharedStrings.xml><?xml version="1.0" encoding="utf-8"?>
<sst xmlns="http://schemas.openxmlformats.org/spreadsheetml/2006/main" count="322" uniqueCount="170">
  <si>
    <t>Temperature Time-Series of To</t>
  </si>
  <si>
    <t>RSQ</t>
  </si>
  <si>
    <t>SSE</t>
  </si>
  <si>
    <t xml:space="preserve">qz =  </t>
  </si>
  <si>
    <t>Date/Time</t>
  </si>
  <si>
    <t>To</t>
  </si>
  <si>
    <t>m/d/yyyy h:mm</t>
  </si>
  <si>
    <t>Model</t>
  </si>
  <si>
    <t>SE</t>
  </si>
  <si>
    <t>Ai</t>
  </si>
  <si>
    <t>Bi</t>
  </si>
  <si>
    <t>Ao</t>
  </si>
  <si>
    <t>Water</t>
  </si>
  <si>
    <t>Sediment</t>
  </si>
  <si>
    <t xml:space="preserve">z =  </t>
  </si>
  <si>
    <t xml:space="preserve">  m</t>
  </si>
  <si>
    <t xml:space="preserve">D = </t>
  </si>
  <si>
    <t>Temperature Time-Series of Tz</t>
  </si>
  <si>
    <t>Tz</t>
  </si>
  <si>
    <t xml:space="preserve">k =  </t>
  </si>
  <si>
    <t xml:space="preserve">  J/(m.s.C)</t>
  </si>
  <si>
    <t xml:space="preserve">β =  </t>
  </si>
  <si>
    <t xml:space="preserve">  k  =  </t>
  </si>
  <si>
    <t xml:space="preserve">             ρC =  </t>
  </si>
  <si>
    <r>
      <t>J/m</t>
    </r>
    <r>
      <rPr>
        <vertAlign val="superscript"/>
        <sz val="11"/>
        <color rgb="FFBF8F00"/>
        <rFont val="Calibri"/>
        <family val="2"/>
        <scheme val="minor"/>
      </rPr>
      <t>3</t>
    </r>
    <r>
      <rPr>
        <sz val="11"/>
        <color rgb="FFBF8F00"/>
        <rFont val="Calibri"/>
        <family val="2"/>
        <scheme val="minor"/>
      </rPr>
      <t>.C</t>
    </r>
  </si>
  <si>
    <t>V  =</t>
  </si>
  <si>
    <t>m/day</t>
  </si>
  <si>
    <t xml:space="preserve">            AR  =</t>
  </si>
  <si>
    <t>EQ  =</t>
  </si>
  <si>
    <r>
      <t>ρ</t>
    </r>
    <r>
      <rPr>
        <b/>
        <vertAlign val="subscript"/>
        <sz val="11"/>
        <color theme="1"/>
        <rFont val="Arial"/>
        <family val="2"/>
      </rPr>
      <t>f</t>
    </r>
    <r>
      <rPr>
        <b/>
        <sz val="11"/>
        <color theme="1"/>
        <rFont val="Arial"/>
        <family val="2"/>
      </rPr>
      <t>C</t>
    </r>
    <r>
      <rPr>
        <b/>
        <vertAlign val="subscript"/>
        <sz val="11"/>
        <color theme="1"/>
        <rFont val="Arial"/>
        <family val="2"/>
      </rPr>
      <t>f</t>
    </r>
    <r>
      <rPr>
        <b/>
        <sz val="11"/>
        <color theme="1"/>
        <rFont val="Arial"/>
        <family val="2"/>
      </rPr>
      <t xml:space="preserve"> =  </t>
    </r>
  </si>
  <si>
    <r>
      <t>ρ</t>
    </r>
    <r>
      <rPr>
        <b/>
        <vertAlign val="subscript"/>
        <sz val="11"/>
        <color theme="1"/>
        <rFont val="Arial"/>
        <family val="2"/>
      </rPr>
      <t>s</t>
    </r>
    <r>
      <rPr>
        <b/>
        <sz val="11"/>
        <color theme="1"/>
        <rFont val="Arial"/>
        <family val="2"/>
      </rPr>
      <t>C</t>
    </r>
    <r>
      <rPr>
        <b/>
        <vertAlign val="subscript"/>
        <sz val="11"/>
        <color theme="1"/>
        <rFont val="Arial"/>
        <family val="2"/>
      </rPr>
      <t>s</t>
    </r>
    <r>
      <rPr>
        <b/>
        <sz val="11"/>
        <color theme="1"/>
        <rFont val="Arial"/>
        <family val="2"/>
      </rPr>
      <t xml:space="preserve"> =  </t>
    </r>
  </si>
  <si>
    <r>
      <t xml:space="preserve">  J/(m</t>
    </r>
    <r>
      <rPr>
        <b/>
        <vertAlign val="superscript"/>
        <sz val="11"/>
        <color theme="1"/>
        <rFont val="Arial"/>
        <family val="2"/>
      </rPr>
      <t>3</t>
    </r>
    <r>
      <rPr>
        <b/>
        <sz val="11"/>
        <color theme="1"/>
        <rFont val="Arial"/>
        <family val="2"/>
      </rPr>
      <t>.C)</t>
    </r>
  </si>
  <si>
    <r>
      <t xml:space="preserve">   m</t>
    </r>
    <r>
      <rPr>
        <b/>
        <vertAlign val="superscript"/>
        <sz val="11"/>
        <color theme="1"/>
        <rFont val="Arial"/>
        <family val="2"/>
      </rPr>
      <t>2</t>
    </r>
    <r>
      <rPr>
        <b/>
        <sz val="11"/>
        <color theme="1"/>
        <rFont val="Arial"/>
        <family val="2"/>
      </rPr>
      <t>/day</t>
    </r>
  </si>
  <si>
    <r>
      <t xml:space="preserve">   ρ</t>
    </r>
    <r>
      <rPr>
        <b/>
        <vertAlign val="subscript"/>
        <sz val="11"/>
        <color theme="1"/>
        <rFont val="Arial"/>
        <family val="2"/>
      </rPr>
      <t>f</t>
    </r>
    <r>
      <rPr>
        <b/>
        <sz val="11"/>
        <color theme="1"/>
        <rFont val="Arial"/>
        <family val="2"/>
      </rPr>
      <t>C</t>
    </r>
    <r>
      <rPr>
        <b/>
        <vertAlign val="subscript"/>
        <sz val="11"/>
        <color theme="1"/>
        <rFont val="Arial"/>
        <family val="2"/>
      </rPr>
      <t>f</t>
    </r>
    <r>
      <rPr>
        <b/>
        <sz val="11"/>
        <color theme="1"/>
        <rFont val="Arial"/>
        <family val="2"/>
      </rPr>
      <t xml:space="preserve"> =  </t>
    </r>
  </si>
  <si>
    <r>
      <t xml:space="preserve">   ρ</t>
    </r>
    <r>
      <rPr>
        <b/>
        <vertAlign val="subscript"/>
        <sz val="11"/>
        <color theme="1"/>
        <rFont val="Arial"/>
        <family val="2"/>
      </rPr>
      <t>s</t>
    </r>
    <r>
      <rPr>
        <b/>
        <sz val="11"/>
        <color theme="1"/>
        <rFont val="Arial"/>
        <family val="2"/>
      </rPr>
      <t>C</t>
    </r>
    <r>
      <rPr>
        <b/>
        <vertAlign val="subscript"/>
        <sz val="11"/>
        <color theme="1"/>
        <rFont val="Arial"/>
        <family val="2"/>
      </rPr>
      <t>s</t>
    </r>
    <r>
      <rPr>
        <b/>
        <sz val="11"/>
        <color theme="1"/>
        <rFont val="Arial"/>
        <family val="2"/>
      </rPr>
      <t xml:space="preserve"> =  </t>
    </r>
  </si>
  <si>
    <r>
      <t xml:space="preserve">  </t>
    </r>
    <r>
      <rPr>
        <b/>
        <sz val="11"/>
        <color theme="1"/>
        <rFont val="Calibri"/>
        <family val="2"/>
      </rPr>
      <t xml:space="preserve">β </t>
    </r>
    <r>
      <rPr>
        <b/>
        <sz val="11"/>
        <color theme="1"/>
        <rFont val="Arial"/>
        <family val="2"/>
      </rPr>
      <t xml:space="preserve"> =  </t>
    </r>
  </si>
  <si>
    <t>η =</t>
  </si>
  <si>
    <r>
      <t xml:space="preserve">         η =</t>
    </r>
    <r>
      <rPr>
        <b/>
        <sz val="9.35"/>
        <color theme="1"/>
        <rFont val="Arial"/>
        <family val="2"/>
      </rPr>
      <t xml:space="preserve">  </t>
    </r>
  </si>
  <si>
    <t>To (oC)</t>
  </si>
  <si>
    <t>Tz (oC)</t>
  </si>
  <si>
    <t xml:space="preserve">ρfCf =  </t>
  </si>
  <si>
    <t xml:space="preserve">ρsCs =  </t>
  </si>
  <si>
    <t>k  =</t>
  </si>
  <si>
    <t>J/(m.s.C)</t>
  </si>
  <si>
    <t>J/(m3.C)</t>
  </si>
  <si>
    <t>β  =</t>
  </si>
  <si>
    <t>m</t>
  </si>
  <si>
    <t>DOUBLE CLICK THE ICON BELOW</t>
  </si>
  <si>
    <r>
      <rPr>
        <b/>
        <vertAlign val="superscript"/>
        <sz val="11"/>
        <color indexed="8"/>
        <rFont val="Calibri"/>
        <family val="2"/>
        <scheme val="minor"/>
      </rPr>
      <t>o</t>
    </r>
    <r>
      <rPr>
        <b/>
        <sz val="11"/>
        <color indexed="8"/>
        <rFont val="Calibri"/>
        <family val="2"/>
        <scheme val="minor"/>
      </rPr>
      <t>C</t>
    </r>
  </si>
  <si>
    <t xml:space="preserve">η =  </t>
  </si>
  <si>
    <t xml:space="preserve">  cm/day</t>
  </si>
  <si>
    <t>Sediment Thermal Conductivity</t>
  </si>
  <si>
    <t>Thermal</t>
  </si>
  <si>
    <t>Source Reference</t>
  </si>
  <si>
    <t>Conductivity</t>
  </si>
  <si>
    <t>USGS. 2003. Heat as a Tool for Studying the Movement of Ground Water Near Streams. Stonestrom, D.A., Constantz, J. (editors), Circular 1260, Reston, Virginia.</t>
  </si>
  <si>
    <t>(Saturated)</t>
  </si>
  <si>
    <t>Environment</t>
  </si>
  <si>
    <t>Type &amp; Texture</t>
  </si>
  <si>
    <t>Method of Determination</t>
  </si>
  <si>
    <t>( J/m-s-°C )</t>
  </si>
  <si>
    <t>Source</t>
  </si>
  <si>
    <t>Sharqawy, M. H., Lienhard V, J. H., Zubair, S. M. 2010. The thermophysical properties of seawater: A review of existing correlations and data. Desalination and Water Treatment, 16: 354-380.</t>
  </si>
  <si>
    <t>Liquid Water</t>
  </si>
  <si>
    <t>not applicable</t>
  </si>
  <si>
    <t>cited reference</t>
  </si>
  <si>
    <t>1, 2</t>
  </si>
  <si>
    <t>Wetland or bog</t>
  </si>
  <si>
    <t>peat</t>
  </si>
  <si>
    <t>heat flux model calibration</t>
  </si>
  <si>
    <t>0.3 - 0.5</t>
  </si>
  <si>
    <t>4, 8</t>
  </si>
  <si>
    <t>Duque, C., Müller, S., Sebok, E., Haider, K., Engesgaard, P. 2016. Estimating groundwater discharge to surface waters using heat as a tracer in low flux environments: the role of thermal conductivity. Hydrological Processes, 30: 383-395.</t>
  </si>
  <si>
    <t>Lake sediment</t>
  </si>
  <si>
    <t>soft mud</t>
  </si>
  <si>
    <t>direct measurement</t>
  </si>
  <si>
    <t>0.46 - 0.59</t>
  </si>
  <si>
    <t>McKenzie, J.M., Siegel, D.I., Rosenberry, D.O., Glaser, P.H., Voss, C.I. 2007. Heat transport in the Red Lake Bog, Glacial lake Agassiz Peatlands. Hyrological Processes, 21: 369-378.</t>
  </si>
  <si>
    <t>Tidal flat sediment</t>
  </si>
  <si>
    <t>silty mud</t>
  </si>
  <si>
    <t>0.66 - 0.70</t>
  </si>
  <si>
    <t>Briggs, M. A., Voytek, E. B., Day-Lewis, F. D., Rosenberry, D. O., Lane, J. W. 2013. Understanding water column and streambed thermal refugia for endangered mussels in the Delware River. Environmental Science and Technology, 47: 11423-11431.</t>
  </si>
  <si>
    <t>Coastal lagoon,  5 meters from shore</t>
  </si>
  <si>
    <t>sandy sediment with higher organic content</t>
  </si>
  <si>
    <t>0.62 - 0.83</t>
  </si>
  <si>
    <t>Markle, J. M., R. A. Schincariol, J. H. Sass, and J. W. Molson. 2006. Characterizing the two-dimensional thermal conductivity distribution in a sand and gravel aquifer. Soil Science Society of America Journal, 70: 1281-1294.</t>
  </si>
  <si>
    <t>Estuary</t>
  </si>
  <si>
    <t>fine muddy</t>
  </si>
  <si>
    <t>0.78 - 0.98</t>
  </si>
  <si>
    <t>Moqsud, M. A., Hayashi, S., Du, J. J., Suetsugu, D. 2008. Appraisal of thermal properties of mud in the Ariake Sea, Japan. American Journal of Environmental Sciences, 4: 129-135.</t>
  </si>
  <si>
    <t>Ocean</t>
  </si>
  <si>
    <t>clayey sediment</t>
  </si>
  <si>
    <t>1.0 - 1.24</t>
  </si>
  <si>
    <t>Hayashi, M., Goeller, N., Quinton, W. L., Wright, N. 2007. A simple heat-conduction method for simulating the frost-table depth in hydrological models. Hydrological Processes, 21: 2610-2622.</t>
  </si>
  <si>
    <t>sandy sediment</t>
  </si>
  <si>
    <t>1.41 - 1.73</t>
  </si>
  <si>
    <t>Goto, S., Matsubayashi, O. 2008. Inversion of the needle-probe data for sediment thermal properties of the eastern flank of the Juan de Fuca Ridge. Journal of Geophysical Research, 113: B08105.</t>
  </si>
  <si>
    <t>Coastal lagoon, 20 meters from shore</t>
  </si>
  <si>
    <t>1.56 - 2.19</t>
  </si>
  <si>
    <t>Harrison, S. J., Phizacklea, A. P. 1985. Seasonal changes in heat flux and heat storage in the intertidal mudflats of the Forth Estuary, Scotland. Journal of Climatology, 5: 473-485.</t>
  </si>
  <si>
    <t>Riverbed</t>
  </si>
  <si>
    <t>sand and gravel</t>
  </si>
  <si>
    <t>heat flux model calibration to seepage measurements</t>
  </si>
  <si>
    <t>Likens, G. E., Johnson, N. M. 1969. Measurement and analysis of the annual heat budget for the sediments in two Wisconsin lakes. Limnology and Oceanography, 14: 115-135.</t>
  </si>
  <si>
    <t>Aquifer</t>
  </si>
  <si>
    <t>direct measurement, heat flux model calibration</t>
  </si>
  <si>
    <t>2.14 - 2.69</t>
  </si>
  <si>
    <t>Waples, D.W., Waples, J.S. 2004. A review and evaluation of specific heat capacities of rocks, minerals, and subsurface fluids. Part 1: Minerals and nonporous rocks. Natural Resources Research, 13(2): 97-122.</t>
  </si>
  <si>
    <t>Rigaud, S., Radakovitch, O., Couture, R.-M., Deflandre, B., Cossa, D., Garnier, C., Garnier, J.-M. 2013. Mobility and fluxes of trace elements and nutrients at the sediment–water interface of a lagoon under contrasting water column oxygenation conditions. Applied Geochemistry, 31: 35-51.</t>
  </si>
  <si>
    <t>Heat Capacity of Soild</t>
  </si>
  <si>
    <t>Gruca-Rokosz, R., Tomaszek, J. A. 2015. Methane and carbon dioxide in the sediment of a eutrophic reservoir: Production pathways and diffusion fluxes at the sediment-water interface. Water Air and Soil Pollution, 226: DOI 10.1007/s11270-014-2268-3.</t>
  </si>
  <si>
    <t>Solid Type</t>
  </si>
  <si>
    <r>
      <t>( J/m</t>
    </r>
    <r>
      <rPr>
        <b/>
        <vertAlign val="superscript"/>
        <sz val="11"/>
        <color theme="1"/>
        <rFont val="Calibri"/>
        <family val="2"/>
        <scheme val="minor"/>
      </rPr>
      <t>3</t>
    </r>
    <r>
      <rPr>
        <b/>
        <sz val="11"/>
        <color theme="1"/>
        <rFont val="Calibri"/>
        <family val="2"/>
        <scheme val="minor"/>
      </rPr>
      <t>-°C )</t>
    </r>
  </si>
  <si>
    <t>Kerogen (Organic Matter)</t>
  </si>
  <si>
    <t>literature (median)</t>
  </si>
  <si>
    <t>Sommerfield, C.K., Madsen, J.A. 2003. Sedimentological and Geophysical Survey of the Upper Delaware Estuary. Final Report.</t>
  </si>
  <si>
    <t>Na-K Feldspars</t>
  </si>
  <si>
    <t>Plagioclases</t>
  </si>
  <si>
    <t>Munsiri, P., Boyd, C.E., Hajek, B.F. 1995. Physical and chemical characteristics of bottom soil profiles in ponds at Auburn, Alabama, USA and a proposed system for describing pond soil horizons. Journal of the World Aquaculture Society, 26: 346-377.</t>
  </si>
  <si>
    <t>Micas</t>
  </si>
  <si>
    <t>Carbonates</t>
  </si>
  <si>
    <t>Pizzolato, W.N., De Hon, R.A. 1995. Lead-210 derived sedimentation rates from a north Louisiana paper-mill effluent reservoir. Clays and Clay Minerals, 43: 515-524.</t>
  </si>
  <si>
    <t>Garnets</t>
  </si>
  <si>
    <t>Amphiboles</t>
  </si>
  <si>
    <t>Percuoco, V. 2012. Geochemistry and release of contaminants from cohesive sediments of the Great Bay Estuary, New Hampshire. Thesis. University of New Hampshire.</t>
  </si>
  <si>
    <t>Pyroxenes</t>
  </si>
  <si>
    <t>Olivines</t>
  </si>
  <si>
    <t>Viana, P., Yin, K., Zhao, X., Rockne, K. 2007. Active sediment capping for pollutant mixtures: control of biogenic gas production under highly intermittent flows. Land Contaminantion and Reclamation, 15: 413-425.</t>
  </si>
  <si>
    <t>Oxides and Hydroxides</t>
  </si>
  <si>
    <r>
      <t xml:space="preserve">Lim, A.L., Hubeny, J.B., Reddy, C.M., King., J.W., Hughen, K.A., Eglinton, T.I. 2005. High-resolution historical reocrdes from Pettaquamscutt River basin sediments: 1. </t>
    </r>
    <r>
      <rPr>
        <vertAlign val="superscript"/>
        <sz val="11"/>
        <color theme="1"/>
        <rFont val="Calibri"/>
        <family val="2"/>
        <scheme val="minor"/>
      </rPr>
      <t>210</t>
    </r>
    <r>
      <rPr>
        <sz val="11"/>
        <color theme="1"/>
        <rFont val="Calibri"/>
        <family val="2"/>
        <scheme val="minor"/>
      </rPr>
      <t xml:space="preserve">Pb and varve chronologies validate record of </t>
    </r>
    <r>
      <rPr>
        <vertAlign val="superscript"/>
        <sz val="11"/>
        <color theme="1"/>
        <rFont val="Calibri"/>
        <family val="2"/>
        <scheme val="minor"/>
      </rPr>
      <t>137</t>
    </r>
    <r>
      <rPr>
        <sz val="11"/>
        <color theme="1"/>
        <rFont val="Calibri"/>
        <family val="2"/>
        <scheme val="minor"/>
      </rPr>
      <t>Cs released by the Chernobyl accident. Geochemica et Cosmochimica Acta, 69:P 1803-1812.</t>
    </r>
  </si>
  <si>
    <t>Porosity</t>
  </si>
  <si>
    <t>Woodruff, J.D., Geyer, W.R., Sommerfield, C.KI., Driscoll, N.W. 2001. Seasonal variation of sediment deposition in the Hudson River estuary. Marine Geology, 179: 105-119.</t>
  </si>
  <si>
    <t>Water Body</t>
  </si>
  <si>
    <t>Type</t>
  </si>
  <si>
    <t>Depth (cm)</t>
  </si>
  <si>
    <t>(fraction)</t>
  </si>
  <si>
    <t>Bhaskar, A.S., Harvey, J.W., Henry, E.J. 2012. Resolving hyporheic and groundwater components of streambed water flux using heat as a tracer. Water Resources Research, 48, doi:10.1029/2011WR011784.</t>
  </si>
  <si>
    <t>Lagoon, 4 - 9 meter depth</t>
  </si>
  <si>
    <t>drying, % water loss</t>
  </si>
  <si>
    <t>Briggs, M. A., Lautz, L.K., Buckley, S.F., Lane, J.W. 2014. Practical limitations on the use of diurnal temperature signals to quantify groundwater upwelling. Journal of Hydrology, 519B: 1739-1751.</t>
  </si>
  <si>
    <t>Reservoir, 0.5 - 6 meter depth</t>
  </si>
  <si>
    <t>0.9 - 1.0</t>
  </si>
  <si>
    <t>0.65 - 0.7</t>
  </si>
  <si>
    <t>Estuary, 4 - 19 meter depth</t>
  </si>
  <si>
    <t>0.63 - 0.88</t>
  </si>
  <si>
    <t>0.55 - 0.76</t>
  </si>
  <si>
    <t>Pond, 1 meter depth</t>
  </si>
  <si>
    <t>dry bulk &amp; particle density</t>
  </si>
  <si>
    <t>Reservoir, 0.8 - 1.2 meter depth</t>
  </si>
  <si>
    <t>Estuary, 1.5 - 4 meter depth</t>
  </si>
  <si>
    <t>0.7 - 0.85</t>
  </si>
  <si>
    <t>0.6 - 0.7</t>
  </si>
  <si>
    <t>Small River, 0.9 - 4 meter depth</t>
  </si>
  <si>
    <t>Large River, 13.5 - 19.5 meter depth</t>
  </si>
  <si>
    <t>Large River, 5 - 10 meter depth</t>
  </si>
  <si>
    <t xml:space="preserve">Stream, 0.06 meter depth </t>
  </si>
  <si>
    <t>Estuarine River, 2 - 3 meter depth</t>
  </si>
  <si>
    <t>To @</t>
  </si>
  <si>
    <t>Tz @</t>
  </si>
  <si>
    <t>Z =</t>
  </si>
  <si>
    <t>Hatch Example #1</t>
  </si>
  <si>
    <t>McCallum Example #1</t>
  </si>
  <si>
    <t>McCallum Example #2</t>
  </si>
  <si>
    <t>Hatch Example #2</t>
  </si>
  <si>
    <t>qz =</t>
  </si>
  <si>
    <t>cm/day</t>
  </si>
  <si>
    <t>RESULT</t>
  </si>
  <si>
    <t>INPUT</t>
  </si>
  <si>
    <t>jaco</t>
  </si>
  <si>
    <t>Web App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</si>
</sst>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 h:mm;@"/>
    <numFmt numFmtId="165" formatCode="0.00_);[Red]\(0.00\)"/>
    <numFmt numFmtId="166" formatCode="0.000"/>
  </numFmts>
  <fonts count="41" x14ac:knownFonts="1">
    <font>
      <sz val="11"/>
      <color theme="1"/>
      <name val="Calibri"/>
      <family val="2"/>
      <scheme val="minor"/>
    </font>
    <font>
      <b/>
      <sz val="11"/>
      <color theme="1"/>
      <name val="Calibri"/>
      <family val="2"/>
      <scheme val="minor"/>
    </font>
    <font>
      <b/>
      <sz val="14"/>
      <color rgb="FF000000"/>
      <name val="Calibri"/>
      <family val="2"/>
    </font>
    <font>
      <b/>
      <sz val="11"/>
      <color indexed="10"/>
      <name val="Calibri"/>
      <family val="2"/>
    </font>
    <font>
      <b/>
      <i/>
      <sz val="11"/>
      <color theme="1"/>
      <name val="Arial"/>
      <family val="2"/>
    </font>
    <font>
      <b/>
      <sz val="11"/>
      <color theme="1"/>
      <name val="Arial"/>
      <family val="2"/>
    </font>
    <font>
      <b/>
      <sz val="11"/>
      <color rgb="FFFF0000"/>
      <name val="Calibri"/>
      <family val="2"/>
      <scheme val="minor"/>
    </font>
    <font>
      <b/>
      <sz val="11"/>
      <name val="Calibri"/>
      <family val="2"/>
      <scheme val="minor"/>
    </font>
    <font>
      <b/>
      <sz val="10"/>
      <name val="Arial"/>
      <family val="2"/>
    </font>
    <font>
      <sz val="10"/>
      <color indexed="10"/>
      <name val="Arial"/>
      <family val="2"/>
    </font>
    <font>
      <b/>
      <i/>
      <u/>
      <sz val="11"/>
      <color rgb="FFFFFF00"/>
      <name val="Arial"/>
      <family val="2"/>
    </font>
    <font>
      <sz val="10"/>
      <name val="Arial"/>
      <family val="2"/>
    </font>
    <font>
      <sz val="11"/>
      <color rgb="FFC00000"/>
      <name val="Calibri"/>
      <family val="2"/>
      <scheme val="minor"/>
    </font>
    <font>
      <sz val="11"/>
      <color theme="1"/>
      <name val="Arial"/>
      <family val="2"/>
    </font>
    <font>
      <sz val="11"/>
      <name val="Calibri"/>
      <family val="2"/>
      <scheme val="minor"/>
    </font>
    <font>
      <b/>
      <sz val="11"/>
      <color theme="1"/>
      <name val="Calibri"/>
      <family val="2"/>
    </font>
    <font>
      <b/>
      <i/>
      <u/>
      <sz val="11"/>
      <color rgb="FFC00000"/>
      <name val="Calibri"/>
      <family val="2"/>
      <scheme val="minor"/>
    </font>
    <font>
      <sz val="11"/>
      <color rgb="FFBF8F00"/>
      <name val="Calibri"/>
      <family val="2"/>
      <scheme val="minor"/>
    </font>
    <font>
      <vertAlign val="superscript"/>
      <sz val="11"/>
      <color rgb="FFBF8F00"/>
      <name val="Calibri"/>
      <family val="2"/>
      <scheme val="minor"/>
    </font>
    <font>
      <sz val="11"/>
      <color rgb="FFBF8F00"/>
      <name val="Calibri"/>
      <family val="2"/>
    </font>
    <font>
      <b/>
      <sz val="9.35"/>
      <color theme="1"/>
      <name val="Arial"/>
      <family val="2"/>
    </font>
    <font>
      <b/>
      <vertAlign val="subscript"/>
      <sz val="11"/>
      <color theme="1"/>
      <name val="Arial"/>
      <family val="2"/>
    </font>
    <font>
      <b/>
      <vertAlign val="superscript"/>
      <sz val="11"/>
      <color theme="1"/>
      <name val="Arial"/>
      <family val="2"/>
    </font>
    <font>
      <b/>
      <u/>
      <sz val="11"/>
      <color theme="0"/>
      <name val="Arial"/>
      <family val="2"/>
    </font>
    <font>
      <sz val="9"/>
      <color indexed="81"/>
      <name val="Tahoma"/>
      <family val="2"/>
    </font>
    <font>
      <b/>
      <sz val="9"/>
      <color indexed="81"/>
      <name val="Tahoma"/>
      <family val="2"/>
    </font>
    <font>
      <b/>
      <i/>
      <u/>
      <sz val="11"/>
      <color theme="0"/>
      <name val="Arial"/>
      <family val="2"/>
    </font>
    <font>
      <i/>
      <sz val="11"/>
      <color theme="1"/>
      <name val="Calibri"/>
      <family val="2"/>
      <scheme val="minor"/>
    </font>
    <font>
      <b/>
      <sz val="12"/>
      <color rgb="FF000000"/>
      <name val="Calibri"/>
      <family val="2"/>
    </font>
    <font>
      <sz val="11"/>
      <color rgb="FFFF0000"/>
      <name val="Calibri"/>
      <family val="2"/>
      <scheme val="minor"/>
    </font>
    <font>
      <b/>
      <sz val="11"/>
      <color indexed="10"/>
      <name val="Calibri"/>
      <family val="2"/>
      <scheme val="minor"/>
    </font>
    <font>
      <b/>
      <sz val="11"/>
      <color indexed="8"/>
      <name val="Calibri"/>
      <family val="2"/>
      <scheme val="minor"/>
    </font>
    <font>
      <b/>
      <vertAlign val="superscript"/>
      <sz val="11"/>
      <color indexed="8"/>
      <name val="Calibri"/>
      <family val="2"/>
      <scheme val="minor"/>
    </font>
    <font>
      <sz val="11"/>
      <color indexed="9"/>
      <name val="Calibri"/>
      <family val="2"/>
      <scheme val="minor"/>
    </font>
    <font>
      <sz val="11"/>
      <color indexed="10"/>
      <name val="Calibri"/>
      <family val="2"/>
      <scheme val="minor"/>
    </font>
    <font>
      <b/>
      <i/>
      <sz val="11"/>
      <color indexed="10"/>
      <name val="Arial"/>
      <family val="2"/>
    </font>
    <font>
      <b/>
      <sz val="12"/>
      <color theme="1"/>
      <name val="Calibri"/>
      <family val="2"/>
      <scheme val="minor"/>
    </font>
    <font>
      <b/>
      <vertAlign val="superscript"/>
      <sz val="11"/>
      <color theme="1"/>
      <name val="Calibri"/>
      <family val="2"/>
      <scheme val="minor"/>
    </font>
    <font>
      <vertAlign val="superscript"/>
      <sz val="11"/>
      <color theme="1"/>
      <name val="Calibri"/>
      <family val="2"/>
      <scheme val="minor"/>
    </font>
    <font>
      <sz val="11"/>
      <name val="Arial"/>
      <family val="2"/>
    </font>
    <font>
      <sz val="11"/>
      <name val="Calibri"/>
      <family val="2"/>
    </font>
  </fonts>
  <fills count="11">
    <fill>
      <patternFill patternType="none"/>
    </fill>
    <fill>
      <patternFill patternType="gray125"/>
    </fill>
    <fill>
      <patternFill patternType="solid">
        <fgColor rgb="FF9BC2E6"/>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BF8F00"/>
        <bgColor indexed="64"/>
      </patternFill>
    </fill>
    <fill>
      <patternFill patternType="solid">
        <fgColor rgb="FFFFFF00"/>
        <bgColor indexed="64"/>
      </patternFill>
    </fill>
    <fill>
      <patternFill patternType="solid">
        <fgColor indexed="9"/>
        <bgColor indexed="64"/>
      </patternFill>
    </fill>
    <fill>
      <patternFill patternType="solid">
        <fgColor indexed="26"/>
        <bgColor indexed="64"/>
      </patternFill>
    </fill>
    <fill>
      <patternFill patternType="solid">
        <fgColor rgb="FFFFC000"/>
        <bgColor indexed="64"/>
      </patternFill>
    </fill>
    <fill>
      <patternFill patternType="solid">
        <fgColor theme="4" tint="0.59999389629810485"/>
        <bgColor indexed="64"/>
      </patternFill>
    </fill>
  </fills>
  <borders count="6">
    <border>
      <left/>
      <right/>
      <top/>
      <bottom/>
      <diagonal/>
    </border>
    <border>
      <left style="thick">
        <color auto="1"/>
      </left>
      <right style="thick">
        <color auto="1"/>
      </right>
      <top style="thick">
        <color auto="1"/>
      </top>
      <bottom style="thick">
        <color auto="1"/>
      </bottom>
      <diagonal/>
    </border>
    <border>
      <left style="medium">
        <color auto="1"/>
      </left>
      <right style="medium">
        <color auto="1"/>
      </right>
      <top style="medium">
        <color auto="1"/>
      </top>
      <bottom style="medium">
        <color auto="1"/>
      </bottom>
      <diagonal/>
    </border>
    <border>
      <left/>
      <right/>
      <top/>
      <bottom style="medium">
        <color auto="1"/>
      </bottom>
      <diagonal/>
    </border>
    <border>
      <left style="thick">
        <color rgb="FFFF0000"/>
      </left>
      <right style="thick">
        <color rgb="FFFF0000"/>
      </right>
      <top style="thick">
        <color rgb="FFFF0000"/>
      </top>
      <bottom style="thick">
        <color rgb="FFFF0000"/>
      </bottom>
      <diagonal/>
    </border>
    <border>
      <left style="medium">
        <color rgb="FFFF0000"/>
      </left>
      <right style="medium">
        <color rgb="FFFF0000"/>
      </right>
      <top style="medium">
        <color rgb="FFFF0000"/>
      </top>
      <bottom style="medium">
        <color rgb="FFFF0000"/>
      </bottom>
      <diagonal/>
    </border>
  </borders>
  <cellStyleXfs count="2">
    <xf numFmtId="0" fontId="0" fillId="0" borderId="0"/>
    <xf numFmtId="0" fontId="11" fillId="0" borderId="0"/>
  </cellStyleXfs>
  <cellXfs count="174">
    <xf numFmtId="0" fontId="0" fillId="0" borderId="0" xfId="0"/>
    <xf numFmtId="0" fontId="0" fillId="0" borderId="0" xfId="0" applyFill="1"/>
    <xf numFmtId="0" fontId="0" fillId="2" borderId="0" xfId="0" applyFill="1"/>
    <xf numFmtId="0" fontId="0" fillId="0" borderId="0" xfId="0" applyFill="1" applyAlignment="1">
      <alignment horizontal="center"/>
    </xf>
    <xf numFmtId="0" fontId="4" fillId="2" borderId="0" xfId="0" applyFont="1" applyFill="1" applyAlignment="1">
      <alignment horizontal="center"/>
    </xf>
    <xf numFmtId="0" fontId="1" fillId="2" borderId="0" xfId="0" applyFont="1" applyFill="1" applyAlignment="1">
      <alignment horizontal="center"/>
    </xf>
    <xf numFmtId="0" fontId="4" fillId="2" borderId="0" xfId="0" applyFont="1" applyFill="1" applyAlignment="1">
      <alignment horizontal="left"/>
    </xf>
    <xf numFmtId="164" fontId="7" fillId="0" borderId="0" xfId="0" applyNumberFormat="1" applyFont="1" applyFill="1" applyAlignment="1"/>
    <xf numFmtId="0" fontId="1" fillId="0" borderId="0" xfId="0" applyFont="1" applyAlignment="1">
      <alignment horizontal="center"/>
    </xf>
    <xf numFmtId="0" fontId="0" fillId="0" borderId="0" xfId="0" applyAlignment="1">
      <alignment horizontal="center"/>
    </xf>
    <xf numFmtId="2" fontId="0" fillId="0" borderId="0" xfId="0" applyNumberFormat="1" applyAlignment="1">
      <alignment horizontal="center"/>
    </xf>
    <xf numFmtId="0" fontId="5" fillId="2" borderId="0" xfId="0" applyFont="1" applyFill="1" applyAlignment="1">
      <alignment horizontal="right"/>
    </xf>
    <xf numFmtId="165" fontId="5" fillId="2" borderId="0" xfId="0" applyNumberFormat="1" applyFont="1" applyFill="1" applyBorder="1" applyAlignment="1">
      <alignment horizontal="center"/>
    </xf>
    <xf numFmtId="0" fontId="5" fillId="2" borderId="0" xfId="0" applyFont="1" applyFill="1" applyAlignment="1">
      <alignment horizontal="center"/>
    </xf>
    <xf numFmtId="0" fontId="1" fillId="3" borderId="0" xfId="0" applyFont="1" applyFill="1" applyAlignment="1">
      <alignment horizontal="center"/>
    </xf>
    <xf numFmtId="2" fontId="8" fillId="3" borderId="0" xfId="0" applyNumberFormat="1" applyFont="1" applyFill="1" applyAlignment="1">
      <alignment horizontal="center"/>
    </xf>
    <xf numFmtId="0" fontId="8" fillId="3" borderId="0" xfId="0" applyFont="1" applyFill="1" applyAlignment="1">
      <alignment horizontal="center"/>
    </xf>
    <xf numFmtId="22" fontId="0" fillId="0" borderId="0" xfId="0" applyNumberFormat="1" applyFill="1" applyAlignment="1">
      <alignment horizontal="left"/>
    </xf>
    <xf numFmtId="2" fontId="9" fillId="0" borderId="0" xfId="0" applyNumberFormat="1" applyFont="1" applyAlignment="1">
      <alignment horizontal="center"/>
    </xf>
    <xf numFmtId="2" fontId="0" fillId="4" borderId="0" xfId="0" applyNumberFormat="1" applyFill="1" applyAlignment="1">
      <alignment horizontal="center"/>
    </xf>
    <xf numFmtId="0" fontId="0" fillId="5" borderId="0" xfId="0" applyFill="1"/>
    <xf numFmtId="0" fontId="11" fillId="0" borderId="0" xfId="0" applyFont="1" applyFill="1" applyAlignment="1">
      <alignment horizontal="center"/>
    </xf>
    <xf numFmtId="2" fontId="0" fillId="0" borderId="0" xfId="0" applyNumberFormat="1"/>
    <xf numFmtId="0" fontId="8" fillId="0" borderId="0" xfId="0" applyFont="1" applyAlignment="1">
      <alignment horizontal="center"/>
    </xf>
    <xf numFmtId="0" fontId="4" fillId="5" borderId="0" xfId="0" applyFont="1" applyFill="1" applyAlignment="1">
      <alignment horizontal="right"/>
    </xf>
    <xf numFmtId="0" fontId="4" fillId="5" borderId="0" xfId="0" applyFont="1" applyFill="1" applyAlignment="1">
      <alignment horizontal="left"/>
    </xf>
    <xf numFmtId="0" fontId="1" fillId="5" borderId="0" xfId="0" applyFont="1" applyFill="1"/>
    <xf numFmtId="0" fontId="12" fillId="5" borderId="0" xfId="0" applyFont="1" applyFill="1"/>
    <xf numFmtId="0" fontId="5" fillId="5" borderId="0" xfId="0" applyFont="1" applyFill="1" applyAlignment="1">
      <alignment horizontal="right"/>
    </xf>
    <xf numFmtId="0" fontId="1" fillId="6" borderId="0" xfId="0" applyFont="1" applyFill="1" applyAlignment="1">
      <alignment horizontal="center"/>
    </xf>
    <xf numFmtId="2" fontId="8" fillId="6" borderId="0" xfId="0" applyNumberFormat="1" applyFont="1" applyFill="1" applyAlignment="1">
      <alignment horizontal="center"/>
    </xf>
    <xf numFmtId="0" fontId="8" fillId="6" borderId="0" xfId="0" applyFont="1" applyFill="1" applyAlignment="1">
      <alignment horizontal="center"/>
    </xf>
    <xf numFmtId="22" fontId="9" fillId="0" borderId="0" xfId="0" applyNumberFormat="1" applyFont="1" applyAlignment="1">
      <alignment horizontal="center"/>
    </xf>
    <xf numFmtId="0" fontId="13" fillId="5" borderId="0" xfId="0" applyFont="1" applyFill="1" applyAlignment="1">
      <alignment horizontal="right"/>
    </xf>
    <xf numFmtId="11" fontId="13" fillId="5" borderId="0" xfId="0" applyNumberFormat="1" applyFont="1" applyFill="1" applyBorder="1"/>
    <xf numFmtId="0" fontId="13" fillId="5" borderId="0" xfId="0" applyFont="1" applyFill="1" applyAlignment="1">
      <alignment horizontal="center"/>
    </xf>
    <xf numFmtId="22" fontId="0" fillId="0" borderId="0" xfId="0" applyNumberFormat="1"/>
    <xf numFmtId="0" fontId="14" fillId="2" borderId="0" xfId="0" applyFont="1" applyFill="1"/>
    <xf numFmtId="11" fontId="5" fillId="2" borderId="0" xfId="0" applyNumberFormat="1" applyFont="1" applyFill="1" applyBorder="1" applyAlignment="1">
      <alignment horizontal="center"/>
    </xf>
    <xf numFmtId="0" fontId="16" fillId="2" borderId="0" xfId="0" applyFont="1" applyFill="1"/>
    <xf numFmtId="11" fontId="5" fillId="5" borderId="0" xfId="0" applyNumberFormat="1" applyFont="1" applyFill="1" applyBorder="1" applyAlignment="1">
      <alignment horizontal="center"/>
    </xf>
    <xf numFmtId="0" fontId="17" fillId="5" borderId="0" xfId="0" applyFont="1" applyFill="1" applyAlignment="1">
      <alignment horizontal="left"/>
    </xf>
    <xf numFmtId="11" fontId="17" fillId="5" borderId="0" xfId="0" applyNumberFormat="1" applyFont="1" applyFill="1" applyBorder="1" applyAlignment="1">
      <alignment horizontal="center"/>
    </xf>
    <xf numFmtId="0" fontId="19" fillId="5" borderId="0" xfId="0" applyFont="1" applyFill="1"/>
    <xf numFmtId="0" fontId="17" fillId="5" borderId="0" xfId="0" applyFont="1" applyFill="1" applyAlignment="1">
      <alignment horizontal="center"/>
    </xf>
    <xf numFmtId="0" fontId="17" fillId="5" borderId="0" xfId="0" applyFont="1" applyFill="1"/>
    <xf numFmtId="0" fontId="17" fillId="5" borderId="0" xfId="0" applyFont="1" applyFill="1" applyProtection="1">
      <protection locked="0" hidden="1"/>
    </xf>
    <xf numFmtId="0" fontId="17" fillId="5" borderId="0" xfId="0" applyFont="1" applyFill="1" applyAlignment="1" applyProtection="1">
      <alignment horizontal="center"/>
      <protection locked="0" hidden="1"/>
    </xf>
    <xf numFmtId="0" fontId="11" fillId="0" borderId="0" xfId="1"/>
    <xf numFmtId="0" fontId="0" fillId="2" borderId="0" xfId="0" applyFont="1" applyFill="1"/>
    <xf numFmtId="0" fontId="5" fillId="2" borderId="0" xfId="0" applyFont="1" applyFill="1" applyAlignment="1">
      <alignment horizontal="left"/>
    </xf>
    <xf numFmtId="0" fontId="5" fillId="5" borderId="0" xfId="0" applyFont="1" applyFill="1" applyAlignment="1">
      <alignment horizontal="center"/>
    </xf>
    <xf numFmtId="0" fontId="5" fillId="5" borderId="0" xfId="0" applyFont="1" applyFill="1" applyAlignment="1">
      <alignment horizontal="left"/>
    </xf>
    <xf numFmtId="0" fontId="0" fillId="0" borderId="0" xfId="0" applyFont="1"/>
    <xf numFmtId="0" fontId="5" fillId="5" borderId="0" xfId="0" applyFont="1" applyFill="1"/>
    <xf numFmtId="0" fontId="0" fillId="0" borderId="0" xfId="0" applyFill="1" applyAlignment="1">
      <alignment horizontal="right"/>
    </xf>
    <xf numFmtId="0" fontId="1" fillId="0" borderId="0" xfId="0" applyFont="1" applyAlignment="1">
      <alignment horizontal="left"/>
    </xf>
    <xf numFmtId="0" fontId="1" fillId="0" borderId="0" xfId="0" applyFont="1" applyFill="1" applyAlignment="1">
      <alignment horizontal="left"/>
    </xf>
    <xf numFmtId="0" fontId="1" fillId="0" borderId="0" xfId="0" applyFont="1" applyFill="1" applyAlignment="1">
      <alignment horizontal="center"/>
    </xf>
    <xf numFmtId="0" fontId="6" fillId="0" borderId="0" xfId="0" applyFont="1" applyFill="1" applyAlignment="1">
      <alignment horizontal="left"/>
    </xf>
    <xf numFmtId="0" fontId="1" fillId="0" borderId="0" xfId="0" applyFont="1"/>
    <xf numFmtId="0" fontId="6" fillId="0" borderId="0" xfId="0" applyFont="1" applyAlignment="1">
      <alignment horizontal="left"/>
    </xf>
    <xf numFmtId="164" fontId="3" fillId="0" borderId="0" xfId="0" applyNumberFormat="1" applyFont="1" applyFill="1" applyAlignment="1">
      <alignment horizontal="left"/>
    </xf>
    <xf numFmtId="0" fontId="0" fillId="0" borderId="0" xfId="0" applyFont="1" applyAlignment="1">
      <alignment horizontal="right"/>
    </xf>
    <xf numFmtId="164" fontId="30" fillId="0" borderId="0" xfId="0" applyNumberFormat="1" applyFont="1" applyFill="1" applyAlignment="1">
      <alignment horizontal="right"/>
    </xf>
    <xf numFmtId="0" fontId="0" fillId="0" borderId="0" xfId="0" applyFont="1" applyFill="1" applyAlignment="1">
      <alignment horizontal="right"/>
    </xf>
    <xf numFmtId="0" fontId="31" fillId="3" borderId="2" xfId="0" applyFont="1" applyFill="1" applyBorder="1" applyAlignment="1">
      <alignment horizontal="center"/>
    </xf>
    <xf numFmtId="0" fontId="31" fillId="6" borderId="2" xfId="0" applyFont="1" applyFill="1" applyBorder="1" applyAlignment="1">
      <alignment horizontal="center"/>
    </xf>
    <xf numFmtId="164" fontId="31" fillId="3" borderId="2" xfId="0" applyNumberFormat="1" applyFont="1" applyFill="1" applyBorder="1" applyAlignment="1">
      <alignment horizontal="center"/>
    </xf>
    <xf numFmtId="164" fontId="31" fillId="6" borderId="2" xfId="0" applyNumberFormat="1" applyFont="1" applyFill="1" applyBorder="1" applyAlignment="1">
      <alignment horizontal="center"/>
    </xf>
    <xf numFmtId="164" fontId="0" fillId="0" borderId="0" xfId="0" applyNumberFormat="1" applyFont="1" applyFill="1" applyBorder="1" applyAlignment="1">
      <alignment horizontal="right"/>
    </xf>
    <xf numFmtId="166" fontId="0" fillId="0" borderId="0" xfId="0" applyNumberFormat="1" applyFont="1" applyFill="1" applyBorder="1" applyAlignment="1">
      <alignment horizontal="center"/>
    </xf>
    <xf numFmtId="0" fontId="0" fillId="0" borderId="0" xfId="0" applyFont="1" applyFill="1" applyBorder="1" applyAlignment="1">
      <alignment horizontal="right"/>
    </xf>
    <xf numFmtId="0" fontId="0" fillId="0" borderId="0" xfId="0" applyAlignment="1"/>
    <xf numFmtId="164" fontId="6" fillId="0" borderId="0" xfId="0" applyNumberFormat="1" applyFont="1" applyFill="1" applyAlignment="1"/>
    <xf numFmtId="164" fontId="29" fillId="0" borderId="0" xfId="0" applyNumberFormat="1" applyFont="1" applyFill="1" applyAlignment="1"/>
    <xf numFmtId="0" fontId="29" fillId="0" borderId="0" xfId="0" applyFont="1" applyAlignment="1"/>
    <xf numFmtId="0" fontId="0" fillId="0" borderId="0" xfId="0" applyFont="1" applyAlignment="1">
      <alignment horizontal="center"/>
    </xf>
    <xf numFmtId="14" fontId="33" fillId="0" borderId="0" xfId="0" applyNumberFormat="1" applyFont="1" applyFill="1"/>
    <xf numFmtId="14" fontId="33" fillId="0" borderId="0" xfId="0" applyNumberFormat="1" applyFont="1"/>
    <xf numFmtId="2" fontId="5" fillId="7" borderId="1" xfId="0" applyNumberFormat="1" applyFont="1" applyFill="1" applyBorder="1" applyAlignment="1">
      <alignment horizontal="center"/>
    </xf>
    <xf numFmtId="11" fontId="5" fillId="7" borderId="1" xfId="0" applyNumberFormat="1" applyFont="1" applyFill="1" applyBorder="1" applyAlignment="1">
      <alignment horizontal="center"/>
    </xf>
    <xf numFmtId="165" fontId="5" fillId="5" borderId="0" xfId="0" applyNumberFormat="1" applyFont="1" applyFill="1" applyBorder="1" applyAlignment="1">
      <alignment horizontal="center"/>
    </xf>
    <xf numFmtId="11" fontId="14" fillId="5" borderId="0" xfId="0" applyNumberFormat="1" applyFont="1" applyFill="1" applyAlignment="1">
      <alignment horizontal="center"/>
    </xf>
    <xf numFmtId="11" fontId="5" fillId="8" borderId="4" xfId="0" applyNumberFormat="1" applyFont="1" applyFill="1" applyBorder="1" applyAlignment="1">
      <alignment horizontal="center"/>
    </xf>
    <xf numFmtId="165" fontId="5" fillId="8" borderId="5" xfId="0" applyNumberFormat="1" applyFont="1" applyFill="1" applyBorder="1" applyAlignment="1">
      <alignment horizontal="center"/>
    </xf>
    <xf numFmtId="165" fontId="13" fillId="2" borderId="0" xfId="0" applyNumberFormat="1" applyFont="1" applyFill="1" applyBorder="1" applyAlignment="1">
      <alignment horizontal="center"/>
    </xf>
    <xf numFmtId="0" fontId="0" fillId="0" borderId="0" xfId="0" applyFont="1" applyFill="1" applyBorder="1"/>
    <xf numFmtId="22" fontId="0" fillId="0" borderId="0" xfId="0" applyNumberFormat="1" applyFont="1" applyFill="1" applyAlignment="1">
      <alignment horizontal="right"/>
    </xf>
    <xf numFmtId="2" fontId="0" fillId="0" borderId="0" xfId="0" applyNumberFormat="1" applyFont="1" applyAlignment="1">
      <alignment horizontal="center"/>
    </xf>
    <xf numFmtId="2" fontId="34" fillId="0" borderId="0" xfId="0" applyNumberFormat="1" applyFont="1" applyAlignment="1">
      <alignment horizontal="center"/>
    </xf>
    <xf numFmtId="0" fontId="0" fillId="0" borderId="0" xfId="0" applyFont="1" applyFill="1"/>
    <xf numFmtId="0" fontId="0" fillId="0" borderId="0" xfId="0" applyFont="1" applyFill="1" applyAlignment="1"/>
    <xf numFmtId="2" fontId="0" fillId="0" borderId="0" xfId="0" applyNumberFormat="1" applyFont="1" applyFill="1" applyAlignment="1">
      <alignment horizontal="center"/>
    </xf>
    <xf numFmtId="0" fontId="0" fillId="0" borderId="0" xfId="0" applyFont="1" applyFill="1" applyAlignment="1">
      <alignment horizontal="left"/>
    </xf>
    <xf numFmtId="22" fontId="14" fillId="0" borderId="0" xfId="1" applyNumberFormat="1" applyFont="1" applyAlignment="1">
      <alignment horizontal="left"/>
    </xf>
    <xf numFmtId="22" fontId="14" fillId="0" borderId="0" xfId="1" applyNumberFormat="1" applyFont="1" applyAlignment="1">
      <alignment horizontal="center"/>
    </xf>
    <xf numFmtId="2" fontId="34" fillId="0" borderId="0" xfId="0" applyNumberFormat="1" applyFont="1" applyAlignment="1">
      <alignment horizontal="right"/>
    </xf>
    <xf numFmtId="0" fontId="35" fillId="2" borderId="0" xfId="0" applyFont="1" applyFill="1"/>
    <xf numFmtId="0" fontId="14" fillId="5" borderId="0" xfId="0" applyFont="1" applyFill="1" applyBorder="1" applyAlignment="1">
      <alignment horizontal="right"/>
    </xf>
    <xf numFmtId="166" fontId="14" fillId="5" borderId="0" xfId="0" applyNumberFormat="1" applyFont="1" applyFill="1" applyBorder="1" applyAlignment="1">
      <alignment horizontal="center"/>
    </xf>
    <xf numFmtId="0" fontId="0" fillId="5" borderId="0" xfId="0" applyFont="1" applyFill="1" applyBorder="1" applyAlignment="1">
      <alignment horizontal="right"/>
    </xf>
    <xf numFmtId="166" fontId="0" fillId="5" borderId="0" xfId="0" applyNumberFormat="1" applyFill="1" applyBorder="1" applyAlignment="1">
      <alignment horizontal="center"/>
    </xf>
    <xf numFmtId="22" fontId="33" fillId="0" borderId="0" xfId="0" applyNumberFormat="1" applyFont="1" applyFill="1" applyAlignment="1">
      <alignment horizontal="right"/>
    </xf>
    <xf numFmtId="0" fontId="0" fillId="5" borderId="0" xfId="0" applyFill="1" applyAlignment="1">
      <alignment horizontal="center"/>
    </xf>
    <xf numFmtId="0" fontId="0" fillId="4" borderId="0" xfId="0" applyFont="1" applyFill="1"/>
    <xf numFmtId="0" fontId="0" fillId="4" borderId="0" xfId="0" applyFont="1" applyFill="1" applyAlignment="1">
      <alignment horizontal="center"/>
    </xf>
    <xf numFmtId="0" fontId="0" fillId="4" borderId="0" xfId="0" applyFont="1" applyFill="1" applyAlignment="1">
      <alignment horizontal="left"/>
    </xf>
    <xf numFmtId="2" fontId="0" fillId="4" borderId="0" xfId="0" applyNumberFormat="1" applyFont="1" applyFill="1" applyBorder="1" applyAlignment="1">
      <alignment horizontal="center"/>
    </xf>
    <xf numFmtId="11" fontId="0" fillId="4" borderId="0" xfId="0" applyNumberFormat="1" applyFont="1" applyFill="1" applyAlignment="1">
      <alignment horizontal="center"/>
    </xf>
    <xf numFmtId="0" fontId="36" fillId="0" borderId="0" xfId="0" applyFont="1"/>
    <xf numFmtId="0" fontId="0" fillId="0" borderId="0" xfId="0" applyAlignment="1">
      <alignment horizontal="left"/>
    </xf>
    <xf numFmtId="0" fontId="0" fillId="0" borderId="0" xfId="0" applyAlignment="1">
      <alignment horizontal="left" wrapText="1"/>
    </xf>
    <xf numFmtId="0" fontId="0" fillId="0" borderId="0" xfId="0" applyAlignment="1">
      <alignment wrapText="1"/>
    </xf>
    <xf numFmtId="0" fontId="0" fillId="0" borderId="0" xfId="0" quotePrefix="1" applyAlignment="1">
      <alignment horizontal="left"/>
    </xf>
    <xf numFmtId="0" fontId="0" fillId="0" borderId="0" xfId="0" applyAlignment="1">
      <alignment horizontal="right" vertical="top"/>
    </xf>
    <xf numFmtId="11" fontId="0" fillId="0" borderId="0" xfId="0" applyNumberFormat="1" applyAlignment="1">
      <alignment horizontal="left"/>
    </xf>
    <xf numFmtId="0" fontId="1" fillId="6" borderId="0" xfId="0" applyFont="1" applyFill="1" applyAlignment="1">
      <alignment horizontal="left"/>
    </xf>
    <xf numFmtId="0" fontId="6" fillId="0" borderId="0" xfId="0" applyFont="1" applyFill="1"/>
    <xf numFmtId="22" fontId="0" fillId="0" borderId="0" xfId="0" applyNumberFormat="1" applyFont="1" applyFill="1" applyAlignment="1">
      <alignment horizontal="left"/>
    </xf>
    <xf numFmtId="165" fontId="0" fillId="0" borderId="0" xfId="0" applyNumberFormat="1" applyFont="1" applyFill="1" applyAlignment="1">
      <alignment horizontal="center"/>
    </xf>
    <xf numFmtId="0" fontId="0" fillId="0" borderId="0" xfId="0" applyFont="1" applyFill="1" applyAlignment="1">
      <alignment horizontal="center"/>
    </xf>
    <xf numFmtId="165" fontId="0" fillId="4" borderId="0" xfId="0" applyNumberFormat="1" applyFont="1" applyFill="1" applyAlignment="1">
      <alignment horizontal="center"/>
    </xf>
    <xf numFmtId="0" fontId="1" fillId="3" borderId="0" xfId="0" applyFont="1" applyFill="1" applyAlignment="1">
      <alignment horizontal="left"/>
    </xf>
    <xf numFmtId="22" fontId="0" fillId="0" borderId="0" xfId="0" applyNumberFormat="1" applyAlignment="1">
      <alignment horizontal="left"/>
    </xf>
    <xf numFmtId="165" fontId="0" fillId="0" borderId="0" xfId="0" applyNumberFormat="1" applyAlignment="1">
      <alignment horizontal="center"/>
    </xf>
    <xf numFmtId="2" fontId="14" fillId="0" borderId="0" xfId="1" applyNumberFormat="1" applyFont="1" applyAlignment="1">
      <alignment horizontal="center"/>
    </xf>
    <xf numFmtId="0" fontId="14" fillId="0" borderId="0" xfId="1" applyFont="1" applyAlignment="1">
      <alignment horizontal="center"/>
    </xf>
    <xf numFmtId="0" fontId="7" fillId="9" borderId="0" xfId="0" applyFont="1" applyFill="1" applyAlignment="1">
      <alignment horizontal="left"/>
    </xf>
    <xf numFmtId="0" fontId="7" fillId="10" borderId="0" xfId="0" applyFont="1" applyFill="1"/>
    <xf numFmtId="0" fontId="7" fillId="10" borderId="0" xfId="0" applyFont="1" applyFill="1" applyAlignment="1">
      <alignment horizontal="left"/>
    </xf>
    <xf numFmtId="0" fontId="6" fillId="0" borderId="0" xfId="0" applyFont="1" applyFill="1" applyAlignment="1">
      <alignment horizontal="center"/>
    </xf>
    <xf numFmtId="165" fontId="5" fillId="8" borderId="4" xfId="0" applyNumberFormat="1" applyFont="1" applyFill="1" applyBorder="1" applyAlignment="1">
      <alignment horizontal="center"/>
    </xf>
    <xf numFmtId="0" fontId="7" fillId="0" borderId="0" xfId="0" applyFont="1" applyFill="1"/>
    <xf numFmtId="0" fontId="7" fillId="0" borderId="0" xfId="0" applyFont="1" applyFill="1" applyAlignment="1">
      <alignment horizontal="center"/>
    </xf>
    <xf numFmtId="0" fontId="7" fillId="0" borderId="0" xfId="0" applyFont="1" applyFill="1" applyAlignment="1">
      <alignment horizontal="left"/>
    </xf>
    <xf numFmtId="2" fontId="6" fillId="0" borderId="0" xfId="0" applyNumberFormat="1" applyFont="1" applyFill="1" applyAlignment="1">
      <alignment horizontal="center"/>
    </xf>
    <xf numFmtId="22" fontId="0" fillId="0" borderId="0" xfId="0" applyNumberFormat="1" applyAlignment="1">
      <alignment horizontal="center"/>
    </xf>
    <xf numFmtId="22" fontId="0" fillId="0" borderId="0" xfId="0" applyNumberFormat="1" applyFont="1" applyFill="1" applyAlignment="1">
      <alignment horizontal="center"/>
    </xf>
    <xf numFmtId="0" fontId="7" fillId="9" borderId="0" xfId="0" applyFont="1" applyFill="1"/>
    <xf numFmtId="0" fontId="7" fillId="9" borderId="0" xfId="0" applyFont="1" applyFill="1" applyAlignment="1">
      <alignment horizontal="center"/>
    </xf>
    <xf numFmtId="2" fontId="6" fillId="9" borderId="0" xfId="0" applyNumberFormat="1" applyFont="1" applyFill="1" applyAlignment="1">
      <alignment horizontal="center"/>
    </xf>
    <xf numFmtId="0" fontId="7" fillId="10" borderId="0" xfId="0" applyFont="1" applyFill="1" applyAlignment="1">
      <alignment horizontal="center"/>
    </xf>
    <xf numFmtId="0" fontId="6" fillId="10" borderId="0" xfId="0" applyFont="1" applyFill="1" applyAlignment="1">
      <alignment horizontal="center"/>
    </xf>
    <xf numFmtId="0" fontId="7" fillId="4" borderId="0" xfId="0" applyFont="1" applyFill="1"/>
    <xf numFmtId="0" fontId="23" fillId="2" borderId="0" xfId="0" applyFont="1" applyFill="1" applyAlignment="1">
      <alignment horizontal="center"/>
    </xf>
    <xf numFmtId="0" fontId="0" fillId="2" borderId="0" xfId="0" applyFont="1" applyFill="1" applyAlignment="1">
      <alignment horizontal="center"/>
    </xf>
    <xf numFmtId="0" fontId="10" fillId="5" borderId="0" xfId="0" applyFont="1" applyFill="1" applyAlignment="1">
      <alignment horizontal="center"/>
    </xf>
    <xf numFmtId="0" fontId="0" fillId="5" borderId="0" xfId="0" applyFill="1" applyAlignment="1">
      <alignment horizontal="center"/>
    </xf>
    <xf numFmtId="164" fontId="7" fillId="0" borderId="3" xfId="0" applyNumberFormat="1" applyFont="1" applyFill="1" applyBorder="1" applyAlignment="1">
      <alignment horizontal="center" vertical="center"/>
    </xf>
    <xf numFmtId="0" fontId="0" fillId="0" borderId="3" xfId="0" applyFont="1" applyBorder="1" applyAlignment="1"/>
    <xf numFmtId="0" fontId="0" fillId="0" borderId="3" xfId="0" applyFont="1" applyBorder="1" applyAlignment="1">
      <alignment horizontal="center"/>
    </xf>
    <xf numFmtId="0" fontId="26" fillId="2" borderId="0" xfId="0" applyFont="1" applyFill="1" applyAlignment="1">
      <alignment horizontal="center"/>
    </xf>
    <xf numFmtId="0" fontId="27" fillId="2" borderId="0" xfId="0" applyFont="1" applyFill="1" applyAlignment="1">
      <alignment horizontal="center"/>
    </xf>
    <xf numFmtId="164" fontId="7" fillId="0" borderId="3" xfId="0" applyNumberFormat="1" applyFont="1" applyFill="1" applyBorder="1" applyAlignment="1"/>
    <xf numFmtId="0" fontId="0" fillId="0" borderId="3" xfId="0" applyBorder="1" applyAlignment="1"/>
    <xf numFmtId="0" fontId="0" fillId="0" borderId="0" xfId="0"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 fillId="0" borderId="0" xfId="0" applyFont="1" applyAlignment="1">
      <alignment wrapText="1"/>
    </xf>
    <xf numFmtId="0" fontId="0" fillId="0" borderId="0" xfId="0" applyAlignment="1">
      <alignment wrapText="1"/>
    </xf>
    <xf numFmtId="0" fontId="0" fillId="0" borderId="0" xfId="0" applyAlignment="1"/>
    <xf numFmtId="0" fontId="0" fillId="0" borderId="0" xfId="0" applyFill="1" applyAlignment="1">
      <alignment wrapText="1"/>
    </xf>
    <xf numFmtId="2" fontId="11" fillId="0" borderId="0" xfId="0" applyNumberFormat="1" applyFont="1" applyAlignment="1">
      <alignment horizontal="center"/>
    </xf>
    <xf numFmtId="0" fontId="14" fillId="5" borderId="0" xfId="0" applyFont="1" applyFill="1"/>
    <xf numFmtId="0" fontId="14" fillId="5" borderId="0" xfId="0" applyFont="1" applyFill="1" applyAlignment="1">
      <alignment horizontal="center"/>
    </xf>
    <xf numFmtId="0" fontId="39" fillId="5" borderId="0" xfId="0" applyFont="1" applyFill="1" applyAlignment="1">
      <alignment horizontal="right"/>
    </xf>
    <xf numFmtId="11" fontId="39" fillId="5" borderId="0" xfId="0" applyNumberFormat="1" applyFont="1" applyFill="1" applyBorder="1"/>
    <xf numFmtId="0" fontId="39" fillId="5" borderId="0" xfId="0" applyFont="1" applyFill="1" applyAlignment="1">
      <alignment horizontal="center"/>
    </xf>
    <xf numFmtId="0" fontId="40" fillId="5" borderId="0" xfId="0" applyFont="1" applyFill="1" applyAlignment="1">
      <alignment horizontal="right"/>
    </xf>
    <xf numFmtId="0" fontId="14" fillId="5" borderId="0" xfId="0" applyFont="1" applyFill="1" applyAlignment="1">
      <alignment horizontal="left"/>
    </xf>
    <xf numFmtId="0" fontId="14" fillId="0" borderId="0" xfId="0" applyFont="1" applyFill="1"/>
    <xf numFmtId="0" fontId="14" fillId="0" borderId="0" xfId="0" applyFont="1"/>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 R^2=0.981</a:t>
            </a:r>
          </a:p>
        </c:rich>
      </c:tx>
      <c:overlay val="0"/>
    </c:title>
    <c:autoTitleDeleted val="0"/>
    <c:plotArea>
      <c:layout/>
      <c:scatterChart>
        <c:scatterStyle val="lineMarker"/>
        <c:varyColors val="0"/>
        <c:ser>
          <c:idx val="0"/>
          <c:order val="0"/>
          <c:tx>
            <c:v>Data</c:v>
          </c:tx>
          <c:spPr>
            <a:ln w="19050" cap="rnd" cmpd="sng" algn="ctr">
              <a:noFill/>
              <a:prstDash val="solid"/>
              <a:round/>
            </a:ln>
            <a:effectLst/>
            <a:extLst>
              <a:ext uri="{91240B29-F687-4F45-9708-019B960494DF}">
                <a14:hiddenLine xmlns:a14="http://schemas.microsoft.com/office/drawing/2010/main" w="19050" cap="rnd" cmpd="sng" algn="ctr">
                  <a:solidFill>
                    <a:srgbClr val="5B9BD5"/>
                  </a:solidFill>
                  <a:prstDash val="solid"/>
                  <a:round/>
                </a14:hiddenLine>
              </a:ext>
            </a:extLst>
          </c:spPr>
          <c:marker>
            <c:symbol val="circle"/>
            <c:size val="8"/>
            <c:spPr>
              <a:solidFill>
                <a:srgbClr val="00FF00"/>
              </a:solidFill>
              <a:ln w="3175">
                <a:solidFill>
                  <a:srgbClr val="000000"/>
                </a:solidFill>
                <a:prstDash val="solid"/>
              </a:ln>
              <a:effectLst/>
              <a:extLst/>
            </c:spPr>
          </c:marker>
          <c:xVal>
            <c:numRef>
              <c:f>Hatch!$B$15:$B$39</c:f>
              <c:numCache>
                <c:formatCode>m/d/yyyy\ h:mm</c:formatCode>
                <c:ptCount val="25"/>
                <c:pt idx="0">
                  <c:v>41832</c:v>
                </c:pt>
                <c:pt idx="1">
                  <c:v>41832.041666666664</c:v>
                </c:pt>
                <c:pt idx="2">
                  <c:v>41832.083333333336</c:v>
                </c:pt>
                <c:pt idx="3">
                  <c:v>41832.125</c:v>
                </c:pt>
                <c:pt idx="4">
                  <c:v>41832.166666666664</c:v>
                </c:pt>
                <c:pt idx="5">
                  <c:v>41832.208333333336</c:v>
                </c:pt>
                <c:pt idx="6">
                  <c:v>41832.25</c:v>
                </c:pt>
                <c:pt idx="7">
                  <c:v>41832.291666666664</c:v>
                </c:pt>
                <c:pt idx="8">
                  <c:v>41832.333333333336</c:v>
                </c:pt>
                <c:pt idx="9">
                  <c:v>41832.375</c:v>
                </c:pt>
                <c:pt idx="10">
                  <c:v>41832.416666666664</c:v>
                </c:pt>
                <c:pt idx="11">
                  <c:v>41832.458333333336</c:v>
                </c:pt>
                <c:pt idx="12">
                  <c:v>41832.5</c:v>
                </c:pt>
                <c:pt idx="13">
                  <c:v>41832.541666666664</c:v>
                </c:pt>
                <c:pt idx="14">
                  <c:v>41832.583333333336</c:v>
                </c:pt>
                <c:pt idx="15">
                  <c:v>41832.625</c:v>
                </c:pt>
                <c:pt idx="16">
                  <c:v>41832.666666666664</c:v>
                </c:pt>
                <c:pt idx="17">
                  <c:v>41832.708333333336</c:v>
                </c:pt>
                <c:pt idx="18">
                  <c:v>41832.75</c:v>
                </c:pt>
                <c:pt idx="19">
                  <c:v>41832.791666666664</c:v>
                </c:pt>
                <c:pt idx="20">
                  <c:v>41832.833333333336</c:v>
                </c:pt>
                <c:pt idx="21">
                  <c:v>41832.875</c:v>
                </c:pt>
                <c:pt idx="22">
                  <c:v>41832.916666666664</c:v>
                </c:pt>
                <c:pt idx="23">
                  <c:v>41832.958333333336</c:v>
                </c:pt>
                <c:pt idx="24">
                  <c:v>41833</c:v>
                </c:pt>
              </c:numCache>
            </c:numRef>
          </c:xVal>
          <c:yVal>
            <c:numRef>
              <c:f>Hatch!$C$15:$C$39</c:f>
              <c:numCache>
                <c:formatCode>0.00</c:formatCode>
                <c:ptCount val="25"/>
                <c:pt idx="0">
                  <c:v>24.507769894549799</c:v>
                </c:pt>
                <c:pt idx="1">
                  <c:v>24.382754172609602</c:v>
                </c:pt>
                <c:pt idx="2">
                  <c:v>24.195225982537298</c:v>
                </c:pt>
                <c:pt idx="3">
                  <c:v>24.0702041177145</c:v>
                </c:pt>
                <c:pt idx="4">
                  <c:v>23.882666713318301</c:v>
                </c:pt>
                <c:pt idx="5">
                  <c:v>23.695123780327702</c:v>
                </c:pt>
                <c:pt idx="6">
                  <c:v>23.507575318742798</c:v>
                </c:pt>
                <c:pt idx="7">
                  <c:v>23.4450579363046</c:v>
                </c:pt>
                <c:pt idx="8">
                  <c:v>23.4450579363046</c:v>
                </c:pt>
                <c:pt idx="9">
                  <c:v>23.632608240754301</c:v>
                </c:pt>
                <c:pt idx="10">
                  <c:v>23.9451797957386</c:v>
                </c:pt>
                <c:pt idx="11">
                  <c:v>24.257735993516398</c:v>
                </c:pt>
                <c:pt idx="12">
                  <c:v>24.507769894549799</c:v>
                </c:pt>
                <c:pt idx="13">
                  <c:v>24.695288870298199</c:v>
                </c:pt>
                <c:pt idx="14">
                  <c:v>24.8202984493558</c:v>
                </c:pt>
                <c:pt idx="15">
                  <c:v>24.8828023174522</c:v>
                </c:pt>
                <c:pt idx="16">
                  <c:v>24.8828023174522</c:v>
                </c:pt>
                <c:pt idx="17">
                  <c:v>24.8828023174522</c:v>
                </c:pt>
                <c:pt idx="18">
                  <c:v>24.7577939669711</c:v>
                </c:pt>
                <c:pt idx="19">
                  <c:v>24.632783159336999</c:v>
                </c:pt>
                <c:pt idx="20">
                  <c:v>24.507769894549799</c:v>
                </c:pt>
                <c:pt idx="21">
                  <c:v>24.4452623407239</c:v>
                </c:pt>
                <c:pt idx="22">
                  <c:v>24.320245390207099</c:v>
                </c:pt>
                <c:pt idx="23">
                  <c:v>24.195225982537298</c:v>
                </c:pt>
                <c:pt idx="24">
                  <c:v>24.132715357270101</c:v>
                </c:pt>
              </c:numCache>
            </c:numRef>
          </c:yVal>
          <c:smooth val="0"/>
          <c:extLst>
            <c:ext xmlns:c16="http://schemas.microsoft.com/office/drawing/2014/chart" uri="{C3380CC4-5D6E-409C-BE32-E72D297353CC}">
              <c16:uniqueId val="{00000001-D63C-4635-AF7B-3D9F05E47A99}"/>
            </c:ext>
          </c:extLst>
        </c:ser>
        <c:ser>
          <c:idx val="1"/>
          <c:order val="1"/>
          <c:tx>
            <c:v>Model</c:v>
          </c:tx>
          <c:spPr>
            <a:ln w="19050">
              <a:solidFill>
                <a:prstClr val="black"/>
              </a:solidFill>
            </a:ln>
          </c:spPr>
          <c:marker>
            <c:symbol val="none"/>
          </c:marker>
          <c:xVal>
            <c:numRef>
              <c:f>Hatch!$B$15:$B$39</c:f>
              <c:numCache>
                <c:formatCode>m/d/yyyy\ h:mm</c:formatCode>
                <c:ptCount val="25"/>
                <c:pt idx="0">
                  <c:v>41832</c:v>
                </c:pt>
                <c:pt idx="1">
                  <c:v>41832.041666666664</c:v>
                </c:pt>
                <c:pt idx="2">
                  <c:v>41832.083333333336</c:v>
                </c:pt>
                <c:pt idx="3">
                  <c:v>41832.125</c:v>
                </c:pt>
                <c:pt idx="4">
                  <c:v>41832.166666666664</c:v>
                </c:pt>
                <c:pt idx="5">
                  <c:v>41832.208333333336</c:v>
                </c:pt>
                <c:pt idx="6">
                  <c:v>41832.25</c:v>
                </c:pt>
                <c:pt idx="7">
                  <c:v>41832.291666666664</c:v>
                </c:pt>
                <c:pt idx="8">
                  <c:v>41832.333333333336</c:v>
                </c:pt>
                <c:pt idx="9">
                  <c:v>41832.375</c:v>
                </c:pt>
                <c:pt idx="10">
                  <c:v>41832.416666666664</c:v>
                </c:pt>
                <c:pt idx="11">
                  <c:v>41832.458333333336</c:v>
                </c:pt>
                <c:pt idx="12">
                  <c:v>41832.5</c:v>
                </c:pt>
                <c:pt idx="13">
                  <c:v>41832.541666666664</c:v>
                </c:pt>
                <c:pt idx="14">
                  <c:v>41832.583333333336</c:v>
                </c:pt>
                <c:pt idx="15">
                  <c:v>41832.625</c:v>
                </c:pt>
                <c:pt idx="16">
                  <c:v>41832.666666666664</c:v>
                </c:pt>
                <c:pt idx="17">
                  <c:v>41832.708333333336</c:v>
                </c:pt>
                <c:pt idx="18">
                  <c:v>41832.75</c:v>
                </c:pt>
                <c:pt idx="19">
                  <c:v>41832.791666666664</c:v>
                </c:pt>
                <c:pt idx="20">
                  <c:v>41832.833333333336</c:v>
                </c:pt>
                <c:pt idx="21">
                  <c:v>41832.875</c:v>
                </c:pt>
                <c:pt idx="22">
                  <c:v>41832.916666666664</c:v>
                </c:pt>
                <c:pt idx="23">
                  <c:v>41832.958333333336</c:v>
                </c:pt>
                <c:pt idx="24">
                  <c:v>41833</c:v>
                </c:pt>
              </c:numCache>
            </c:numRef>
          </c:xVal>
          <c:yVal>
            <c:numRef>
              <c:f>Hatch!$F$15:$F$39</c:f>
              <c:numCache>
                <c:formatCode>0.00</c:formatCode>
                <c:ptCount val="25"/>
                <c:pt idx="0">
                  <c:v>24.309348299400856</c:v>
                </c:pt>
                <c:pt idx="1">
                  <c:v>24.302561213772126</c:v>
                </c:pt>
                <c:pt idx="2">
                  <c:v>24.233454972704571</c:v>
                </c:pt>
                <c:pt idx="3">
                  <c:v>24.089528902783371</c:v>
                </c:pt>
                <c:pt idx="4">
                  <c:v>23.890162592992475</c:v>
                </c:pt>
                <c:pt idx="5">
                  <c:v>23.677782098103357</c:v>
                </c:pt>
                <c:pt idx="6">
                  <c:v>23.505503799743177</c:v>
                </c:pt>
                <c:pt idx="7">
                  <c:v>23.424786186487776</c:v>
                </c:pt>
                <c:pt idx="8">
                  <c:v>23.471380708465855</c:v>
                </c:pt>
                <c:pt idx="9">
                  <c:v>23.650234240881609</c:v>
                </c:pt>
                <c:pt idx="10">
                  <c:v>23.927298714284657</c:v>
                </c:pt>
                <c:pt idx="11">
                  <c:v>24.238172478414754</c:v>
                </c:pt>
                <c:pt idx="12">
                  <c:v>24.514090172282085</c:v>
                </c:pt>
                <c:pt idx="13">
                  <c:v>24.711327676994149</c:v>
                </c:pt>
                <c:pt idx="14">
                  <c:v>24.824446509127878</c:v>
                </c:pt>
                <c:pt idx="15">
                  <c:v>24.874552270598102</c:v>
                </c:pt>
                <c:pt idx="16">
                  <c:v>24.883317370521905</c:v>
                </c:pt>
                <c:pt idx="17">
                  <c:v>24.854902049815397</c:v>
                </c:pt>
                <c:pt idx="18">
                  <c:v>24.780312904411616</c:v>
                </c:pt>
                <c:pt idx="19">
                  <c:v>24.658326455691579</c:v>
                </c:pt>
                <c:pt idx="20">
                  <c:v>24.511990787790189</c:v>
                </c:pt>
                <c:pt idx="21">
                  <c:v>24.383482651832015</c:v>
                </c:pt>
                <c:pt idx="22">
                  <c:v>24.309273031161048</c:v>
                </c:pt>
                <c:pt idx="23">
                  <c:v>24.294923637485375</c:v>
                </c:pt>
                <c:pt idx="24">
                  <c:v>24.309348299394326</c:v>
                </c:pt>
              </c:numCache>
            </c:numRef>
          </c:yVal>
          <c:smooth val="0"/>
          <c:extLst>
            <c:ext xmlns:c16="http://schemas.microsoft.com/office/drawing/2014/chart" uri="{C3380CC4-5D6E-409C-BE32-E72D297353CC}">
              <c16:uniqueId val="{00000002-D63C-4635-AF7B-3D9F05E47A99}"/>
            </c:ext>
          </c:extLst>
        </c:ser>
        <c:dLbls>
          <c:showLegendKey val="0"/>
          <c:showVal val="0"/>
          <c:showCatName val="0"/>
          <c:showSerName val="0"/>
          <c:showPercent val="0"/>
          <c:showBubbleSize val="0"/>
        </c:dLbls>
        <c:axId val="620068648"/>
        <c:axId val="620072584"/>
      </c:scatterChart>
      <c:valAx>
        <c:axId val="620068648"/>
        <c:scaling>
          <c:orientation val="minMax"/>
        </c:scaling>
        <c:delete val="0"/>
        <c:axPos val="b"/>
        <c:title>
          <c:tx>
            <c:rich>
              <a:bodyPr/>
              <a:lstStyle/>
              <a:p>
                <a:pPr>
                  <a:defRPr sz="1400" b="0"/>
                </a:pPr>
                <a:r>
                  <a:rPr lang="en-US"/>
                  <a:t>Time</a:t>
                </a:r>
              </a:p>
            </c:rich>
          </c:tx>
          <c:overlay val="0"/>
        </c:title>
        <c:numFmt formatCode="hh:mm" sourceLinked="0"/>
        <c:majorTickMark val="out"/>
        <c:minorTickMark val="none"/>
        <c:tickLblPos val="nextTo"/>
        <c:crossAx val="620072584"/>
        <c:crosses val="autoZero"/>
        <c:crossBetween val="midCat"/>
      </c:valAx>
      <c:valAx>
        <c:axId val="620072584"/>
        <c:scaling>
          <c:orientation val="minMax"/>
          <c:max val="26.127483239048001"/>
          <c:min val="22.253546877163387"/>
        </c:scaling>
        <c:delete val="0"/>
        <c:axPos val="l"/>
        <c:title>
          <c:tx>
            <c:rich>
              <a:bodyPr/>
              <a:lstStyle/>
              <a:p>
                <a:pPr>
                  <a:defRPr sz="1400" b="0"/>
                </a:pPr>
                <a:r>
                  <a:rPr lang="en-US"/>
                  <a:t>Temperature, oC</a:t>
                </a:r>
              </a:p>
            </c:rich>
          </c:tx>
          <c:overlay val="0"/>
        </c:title>
        <c:numFmt formatCode="0.00" sourceLinked="0"/>
        <c:majorTickMark val="out"/>
        <c:minorTickMark val="none"/>
        <c:tickLblPos val="nextTo"/>
        <c:crossAx val="620068648"/>
        <c:crosses val="autoZero"/>
        <c:crossBetween val="midCat"/>
      </c:valAx>
      <c:spPr>
        <a:solidFill>
          <a:srgbClr val="F2F2F2"/>
        </a:solidFill>
      </c:spPr>
    </c:plotArea>
    <c:legend>
      <c:legendPos val="r"/>
      <c:overlay val="0"/>
    </c:legend>
    <c:plotVisOnly val="0"/>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Tz, R^2=0.969</a:t>
            </a:r>
          </a:p>
        </c:rich>
      </c:tx>
      <c:overlay val="0"/>
    </c:title>
    <c:autoTitleDeleted val="0"/>
    <c:plotArea>
      <c:layout/>
      <c:scatterChart>
        <c:scatterStyle val="lineMarker"/>
        <c:varyColors val="0"/>
        <c:ser>
          <c:idx val="0"/>
          <c:order val="0"/>
          <c:tx>
            <c:v>Data</c:v>
          </c:tx>
          <c:spPr>
            <a:ln w="19050" cap="rnd" cmpd="sng" algn="ctr">
              <a:noFill/>
              <a:prstDash val="solid"/>
              <a:round/>
            </a:ln>
            <a:effectLst/>
            <a:extLst>
              <a:ext uri="{91240B29-F687-4F45-9708-019B960494DF}">
                <a14:hiddenLine xmlns:a14="http://schemas.microsoft.com/office/drawing/2010/main" w="19050" cap="rnd" cmpd="sng" algn="ctr">
                  <a:solidFill>
                    <a:srgbClr val="5B9BD5"/>
                  </a:solidFill>
                  <a:prstDash val="solid"/>
                  <a:round/>
                </a14:hiddenLine>
              </a:ext>
            </a:extLst>
          </c:spPr>
          <c:marker>
            <c:symbol val="circle"/>
            <c:size val="8"/>
            <c:spPr>
              <a:solidFill>
                <a:srgbClr val="FFFF00"/>
              </a:solidFill>
              <a:ln w="3175">
                <a:solidFill>
                  <a:srgbClr val="000000"/>
                </a:solidFill>
                <a:prstDash val="solid"/>
              </a:ln>
              <a:effectLst/>
              <a:extLst/>
            </c:spPr>
          </c:marker>
          <c:xVal>
            <c:numRef>
              <c:f>Hatch!$D$15:$D$39</c:f>
              <c:numCache>
                <c:formatCode>m/d/yyyy\ h:mm</c:formatCode>
                <c:ptCount val="25"/>
                <c:pt idx="0">
                  <c:v>41832</c:v>
                </c:pt>
                <c:pt idx="1">
                  <c:v>41832.041666666664</c:v>
                </c:pt>
                <c:pt idx="2">
                  <c:v>41832.083333333336</c:v>
                </c:pt>
                <c:pt idx="3">
                  <c:v>41832.125</c:v>
                </c:pt>
                <c:pt idx="4">
                  <c:v>41832.166666666664</c:v>
                </c:pt>
                <c:pt idx="5">
                  <c:v>41832.208333333336</c:v>
                </c:pt>
                <c:pt idx="6">
                  <c:v>41832.25</c:v>
                </c:pt>
                <c:pt idx="7">
                  <c:v>41832.291666666664</c:v>
                </c:pt>
                <c:pt idx="8">
                  <c:v>41832.333333333336</c:v>
                </c:pt>
                <c:pt idx="9">
                  <c:v>41832.375</c:v>
                </c:pt>
                <c:pt idx="10">
                  <c:v>41832.416666666664</c:v>
                </c:pt>
                <c:pt idx="11">
                  <c:v>41832.458333333336</c:v>
                </c:pt>
                <c:pt idx="12">
                  <c:v>41832.5</c:v>
                </c:pt>
                <c:pt idx="13">
                  <c:v>41832.541666666664</c:v>
                </c:pt>
                <c:pt idx="14">
                  <c:v>41832.583333333336</c:v>
                </c:pt>
                <c:pt idx="15">
                  <c:v>41832.625</c:v>
                </c:pt>
                <c:pt idx="16">
                  <c:v>41832.666666666664</c:v>
                </c:pt>
                <c:pt idx="17">
                  <c:v>41832.708333333336</c:v>
                </c:pt>
                <c:pt idx="18">
                  <c:v>41832.75</c:v>
                </c:pt>
                <c:pt idx="19">
                  <c:v>41832.791666666664</c:v>
                </c:pt>
                <c:pt idx="20">
                  <c:v>41832.833333333336</c:v>
                </c:pt>
                <c:pt idx="21">
                  <c:v>41832.875</c:v>
                </c:pt>
                <c:pt idx="22">
                  <c:v>41832.916666666664</c:v>
                </c:pt>
                <c:pt idx="23">
                  <c:v>41832.958333333336</c:v>
                </c:pt>
                <c:pt idx="24">
                  <c:v>41833</c:v>
                </c:pt>
              </c:numCache>
            </c:numRef>
          </c:xVal>
          <c:yVal>
            <c:numRef>
              <c:f>Hatch!$E$15:$E$39</c:f>
              <c:numCache>
                <c:formatCode>General</c:formatCode>
                <c:ptCount val="25"/>
                <c:pt idx="0">
                  <c:v>21.07</c:v>
                </c:pt>
                <c:pt idx="1">
                  <c:v>21.07</c:v>
                </c:pt>
                <c:pt idx="2">
                  <c:v>21.07</c:v>
                </c:pt>
                <c:pt idx="3">
                  <c:v>21.07</c:v>
                </c:pt>
                <c:pt idx="4">
                  <c:v>21.01</c:v>
                </c:pt>
                <c:pt idx="5">
                  <c:v>21.01</c:v>
                </c:pt>
                <c:pt idx="6">
                  <c:v>20.94</c:v>
                </c:pt>
                <c:pt idx="7">
                  <c:v>20.94</c:v>
                </c:pt>
                <c:pt idx="8">
                  <c:v>20.88</c:v>
                </c:pt>
                <c:pt idx="9">
                  <c:v>20.82</c:v>
                </c:pt>
                <c:pt idx="10">
                  <c:v>20.82</c:v>
                </c:pt>
                <c:pt idx="11">
                  <c:v>20.82</c:v>
                </c:pt>
                <c:pt idx="12">
                  <c:v>20.82</c:v>
                </c:pt>
                <c:pt idx="13">
                  <c:v>20.82</c:v>
                </c:pt>
                <c:pt idx="14">
                  <c:v>20.88</c:v>
                </c:pt>
                <c:pt idx="15">
                  <c:v>20.88</c:v>
                </c:pt>
                <c:pt idx="16">
                  <c:v>20.94</c:v>
                </c:pt>
                <c:pt idx="17">
                  <c:v>20.94</c:v>
                </c:pt>
                <c:pt idx="18">
                  <c:v>21.01</c:v>
                </c:pt>
                <c:pt idx="19">
                  <c:v>21.01</c:v>
                </c:pt>
                <c:pt idx="20">
                  <c:v>21.07</c:v>
                </c:pt>
                <c:pt idx="21">
                  <c:v>21.07</c:v>
                </c:pt>
                <c:pt idx="22">
                  <c:v>21.07</c:v>
                </c:pt>
                <c:pt idx="23">
                  <c:v>21.07</c:v>
                </c:pt>
                <c:pt idx="24">
                  <c:v>21.01</c:v>
                </c:pt>
              </c:numCache>
            </c:numRef>
          </c:yVal>
          <c:smooth val="0"/>
          <c:extLst>
            <c:ext xmlns:c16="http://schemas.microsoft.com/office/drawing/2014/chart" uri="{C3380CC4-5D6E-409C-BE32-E72D297353CC}">
              <c16:uniqueId val="{00000001-B4A1-4454-B9F2-00CFDF3CEE3C}"/>
            </c:ext>
          </c:extLst>
        </c:ser>
        <c:ser>
          <c:idx val="1"/>
          <c:order val="1"/>
          <c:tx>
            <c:v>Model</c:v>
          </c:tx>
          <c:spPr>
            <a:ln w="19050">
              <a:solidFill>
                <a:prstClr val="black"/>
              </a:solidFill>
            </a:ln>
          </c:spPr>
          <c:marker>
            <c:symbol val="none"/>
          </c:marker>
          <c:xVal>
            <c:numRef>
              <c:f>Hatch!$D$15:$D$39</c:f>
              <c:numCache>
                <c:formatCode>m/d/yyyy\ h:mm</c:formatCode>
                <c:ptCount val="25"/>
                <c:pt idx="0">
                  <c:v>41832</c:v>
                </c:pt>
                <c:pt idx="1">
                  <c:v>41832.041666666664</c:v>
                </c:pt>
                <c:pt idx="2">
                  <c:v>41832.083333333336</c:v>
                </c:pt>
                <c:pt idx="3">
                  <c:v>41832.125</c:v>
                </c:pt>
                <c:pt idx="4">
                  <c:v>41832.166666666664</c:v>
                </c:pt>
                <c:pt idx="5">
                  <c:v>41832.208333333336</c:v>
                </c:pt>
                <c:pt idx="6">
                  <c:v>41832.25</c:v>
                </c:pt>
                <c:pt idx="7">
                  <c:v>41832.291666666664</c:v>
                </c:pt>
                <c:pt idx="8">
                  <c:v>41832.333333333336</c:v>
                </c:pt>
                <c:pt idx="9">
                  <c:v>41832.375</c:v>
                </c:pt>
                <c:pt idx="10">
                  <c:v>41832.416666666664</c:v>
                </c:pt>
                <c:pt idx="11">
                  <c:v>41832.458333333336</c:v>
                </c:pt>
                <c:pt idx="12">
                  <c:v>41832.5</c:v>
                </c:pt>
                <c:pt idx="13">
                  <c:v>41832.541666666664</c:v>
                </c:pt>
                <c:pt idx="14">
                  <c:v>41832.583333333336</c:v>
                </c:pt>
                <c:pt idx="15">
                  <c:v>41832.625</c:v>
                </c:pt>
                <c:pt idx="16">
                  <c:v>41832.666666666664</c:v>
                </c:pt>
                <c:pt idx="17">
                  <c:v>41832.708333333336</c:v>
                </c:pt>
                <c:pt idx="18">
                  <c:v>41832.75</c:v>
                </c:pt>
                <c:pt idx="19">
                  <c:v>41832.791666666664</c:v>
                </c:pt>
                <c:pt idx="20">
                  <c:v>41832.833333333336</c:v>
                </c:pt>
                <c:pt idx="21">
                  <c:v>41832.875</c:v>
                </c:pt>
                <c:pt idx="22">
                  <c:v>41832.916666666664</c:v>
                </c:pt>
                <c:pt idx="23">
                  <c:v>41832.958333333336</c:v>
                </c:pt>
                <c:pt idx="24">
                  <c:v>41833</c:v>
                </c:pt>
              </c:numCache>
            </c:numRef>
          </c:xVal>
          <c:yVal>
            <c:numRef>
              <c:f>Hatch!$H$15:$H$39</c:f>
              <c:numCache>
                <c:formatCode>0.00</c:formatCode>
                <c:ptCount val="25"/>
                <c:pt idx="0">
                  <c:v>21.054301660623878</c:v>
                </c:pt>
                <c:pt idx="1">
                  <c:v>21.05955912128065</c:v>
                </c:pt>
                <c:pt idx="2">
                  <c:v>21.064339346284896</c:v>
                </c:pt>
                <c:pt idx="3">
                  <c:v>21.057442731866306</c:v>
                </c:pt>
                <c:pt idx="4">
                  <c:v>21.033925372874965</c:v>
                </c:pt>
                <c:pt idx="5">
                  <c:v>20.997645351159239</c:v>
                </c:pt>
                <c:pt idx="6">
                  <c:v>20.956485910412937</c:v>
                </c:pt>
                <c:pt idx="7">
                  <c:v>20.916014667607335</c:v>
                </c:pt>
                <c:pt idx="8">
                  <c:v>20.877865597414054</c:v>
                </c:pt>
                <c:pt idx="9">
                  <c:v>20.843393108989272</c:v>
                </c:pt>
                <c:pt idx="10">
                  <c:v>20.817377001107918</c:v>
                </c:pt>
                <c:pt idx="11">
                  <c:v>20.806730228488679</c:v>
                </c:pt>
                <c:pt idx="12">
                  <c:v>20.814925918598959</c:v>
                </c:pt>
                <c:pt idx="13">
                  <c:v>20.838006252202696</c:v>
                </c:pt>
                <c:pt idx="14">
                  <c:v>20.866968431998657</c:v>
                </c:pt>
                <c:pt idx="15">
                  <c:v>20.894907234471731</c:v>
                </c:pt>
                <c:pt idx="16">
                  <c:v>20.922085586714264</c:v>
                </c:pt>
                <c:pt idx="17">
                  <c:v>20.953685283089865</c:v>
                </c:pt>
                <c:pt idx="18">
                  <c:v>20.992140746471474</c:v>
                </c:pt>
                <c:pt idx="19">
                  <c:v>21.031651629181532</c:v>
                </c:pt>
                <c:pt idx="20">
                  <c:v>21.060820447882509</c:v>
                </c:pt>
                <c:pt idx="21">
                  <c:v>21.071635467382528</c:v>
                </c:pt>
                <c:pt idx="22">
                  <c:v>21.066613147836662</c:v>
                </c:pt>
                <c:pt idx="23">
                  <c:v>21.05717809249008</c:v>
                </c:pt>
                <c:pt idx="24">
                  <c:v>21.054301660624702</c:v>
                </c:pt>
              </c:numCache>
            </c:numRef>
          </c:yVal>
          <c:smooth val="0"/>
          <c:extLst>
            <c:ext xmlns:c16="http://schemas.microsoft.com/office/drawing/2014/chart" uri="{C3380CC4-5D6E-409C-BE32-E72D297353CC}">
              <c16:uniqueId val="{00000002-B4A1-4454-B9F2-00CFDF3CEE3C}"/>
            </c:ext>
          </c:extLst>
        </c:ser>
        <c:dLbls>
          <c:showLegendKey val="0"/>
          <c:showVal val="0"/>
          <c:showCatName val="0"/>
          <c:showSerName val="0"/>
          <c:showPercent val="0"/>
          <c:showBubbleSize val="0"/>
        </c:dLbls>
        <c:axId val="620070616"/>
        <c:axId val="620071272"/>
      </c:scatterChart>
      <c:valAx>
        <c:axId val="620070616"/>
        <c:scaling>
          <c:orientation val="minMax"/>
        </c:scaling>
        <c:delete val="0"/>
        <c:axPos val="b"/>
        <c:title>
          <c:tx>
            <c:rich>
              <a:bodyPr/>
              <a:lstStyle/>
              <a:p>
                <a:pPr>
                  <a:defRPr sz="1400" b="0"/>
                </a:pPr>
                <a:r>
                  <a:rPr lang="en-US"/>
                  <a:t>Time</a:t>
                </a:r>
              </a:p>
            </c:rich>
          </c:tx>
          <c:overlay val="0"/>
        </c:title>
        <c:numFmt formatCode="hh:mm" sourceLinked="0"/>
        <c:majorTickMark val="out"/>
        <c:minorTickMark val="none"/>
        <c:tickLblPos val="nextTo"/>
        <c:crossAx val="620071272"/>
        <c:crosses val="autoZero"/>
        <c:crossBetween val="midCat"/>
      </c:valAx>
      <c:valAx>
        <c:axId val="620071272"/>
        <c:scaling>
          <c:orientation val="minMax"/>
          <c:max val="21.282351822056352"/>
          <c:min val="20.59866292620379"/>
        </c:scaling>
        <c:delete val="0"/>
        <c:axPos val="l"/>
        <c:title>
          <c:tx>
            <c:rich>
              <a:bodyPr/>
              <a:lstStyle/>
              <a:p>
                <a:pPr>
                  <a:defRPr sz="1400" b="0"/>
                </a:pPr>
                <a:r>
                  <a:rPr lang="en-US"/>
                  <a:t>Temperature, oC</a:t>
                </a:r>
              </a:p>
            </c:rich>
          </c:tx>
          <c:overlay val="0"/>
        </c:title>
        <c:numFmt formatCode="0.00" sourceLinked="0"/>
        <c:majorTickMark val="out"/>
        <c:minorTickMark val="none"/>
        <c:tickLblPos val="nextTo"/>
        <c:crossAx val="620070616"/>
        <c:crosses val="autoZero"/>
        <c:crossBetween val="midCat"/>
      </c:valAx>
      <c:spPr>
        <a:solidFill>
          <a:srgbClr val="F2F2F2"/>
        </a:solidFill>
      </c:spPr>
    </c:plotArea>
    <c:legend>
      <c:legendPos val="r"/>
      <c:overlay val="0"/>
    </c:legend>
    <c:plotVisOnly val="0"/>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 R^2=0.986</a:t>
            </a:r>
          </a:p>
        </c:rich>
      </c:tx>
      <c:overlay val="0"/>
    </c:title>
    <c:autoTitleDeleted val="0"/>
    <c:plotArea>
      <c:layout/>
      <c:scatterChart>
        <c:scatterStyle val="lineMarker"/>
        <c:varyColors val="0"/>
        <c:ser>
          <c:idx val="0"/>
          <c:order val="0"/>
          <c:tx>
            <c:v>Data</c:v>
          </c:tx>
          <c:spPr>
            <a:ln w="19050" cap="rnd" cmpd="sng" algn="ctr">
              <a:noFill/>
              <a:prstDash val="solid"/>
              <a:round/>
            </a:ln>
            <a:effectLst/>
            <a:extLst>
              <a:ext uri="{91240B29-F687-4F45-9708-019B960494DF}">
                <a14:hiddenLine xmlns:a14="http://schemas.microsoft.com/office/drawing/2010/main" w="19050" cap="rnd" cmpd="sng" algn="ctr">
                  <a:solidFill>
                    <a:srgbClr val="5B9BD5"/>
                  </a:solidFill>
                  <a:prstDash val="solid"/>
                  <a:round/>
                </a14:hiddenLine>
              </a:ext>
            </a:extLst>
          </c:spPr>
          <c:marker>
            <c:symbol val="circle"/>
            <c:size val="8"/>
            <c:spPr>
              <a:solidFill>
                <a:srgbClr val="00FF00"/>
              </a:solidFill>
              <a:ln w="3175">
                <a:solidFill>
                  <a:srgbClr val="000000"/>
                </a:solidFill>
                <a:prstDash val="solid"/>
              </a:ln>
              <a:effectLst/>
              <a:extLst/>
            </c:spPr>
          </c:marker>
          <c:xVal>
            <c:numRef>
              <c:f>McCallum!$B$15:$B$39</c:f>
              <c:numCache>
                <c:formatCode>m/d/yyyy\ h:mm</c:formatCode>
                <c:ptCount val="25"/>
                <c:pt idx="0">
                  <c:v>41450</c:v>
                </c:pt>
                <c:pt idx="1">
                  <c:v>41450.041666666664</c:v>
                </c:pt>
                <c:pt idx="2">
                  <c:v>41450.083333333336</c:v>
                </c:pt>
                <c:pt idx="3">
                  <c:v>41450.125</c:v>
                </c:pt>
                <c:pt idx="4">
                  <c:v>41450.166666666664</c:v>
                </c:pt>
                <c:pt idx="5">
                  <c:v>41450.208333333336</c:v>
                </c:pt>
                <c:pt idx="6">
                  <c:v>41450.25</c:v>
                </c:pt>
                <c:pt idx="7">
                  <c:v>41450.291666666664</c:v>
                </c:pt>
                <c:pt idx="8">
                  <c:v>41450.333333333336</c:v>
                </c:pt>
                <c:pt idx="9">
                  <c:v>41450.375</c:v>
                </c:pt>
                <c:pt idx="10">
                  <c:v>41450.416666666664</c:v>
                </c:pt>
                <c:pt idx="11">
                  <c:v>41450.458333333336</c:v>
                </c:pt>
                <c:pt idx="12">
                  <c:v>41450.5</c:v>
                </c:pt>
                <c:pt idx="13">
                  <c:v>41450.541666666664</c:v>
                </c:pt>
                <c:pt idx="14">
                  <c:v>41450.583333333336</c:v>
                </c:pt>
                <c:pt idx="15">
                  <c:v>41450.625</c:v>
                </c:pt>
                <c:pt idx="16">
                  <c:v>41450.666666666664</c:v>
                </c:pt>
                <c:pt idx="17">
                  <c:v>41450.708333333336</c:v>
                </c:pt>
                <c:pt idx="18">
                  <c:v>41450.75</c:v>
                </c:pt>
                <c:pt idx="19">
                  <c:v>41450.791666666664</c:v>
                </c:pt>
                <c:pt idx="20">
                  <c:v>41450.833333333336</c:v>
                </c:pt>
                <c:pt idx="21">
                  <c:v>41450.875</c:v>
                </c:pt>
                <c:pt idx="22">
                  <c:v>41450.916666666664</c:v>
                </c:pt>
                <c:pt idx="23">
                  <c:v>41450.958333333336</c:v>
                </c:pt>
                <c:pt idx="24">
                  <c:v>41451</c:v>
                </c:pt>
              </c:numCache>
            </c:numRef>
          </c:xVal>
          <c:yVal>
            <c:numRef>
              <c:f>McCallum!$C$15:$C$39</c:f>
              <c:numCache>
                <c:formatCode>0.00</c:formatCode>
                <c:ptCount val="25"/>
                <c:pt idx="0">
                  <c:v>21.25</c:v>
                </c:pt>
                <c:pt idx="1">
                  <c:v>20.93</c:v>
                </c:pt>
                <c:pt idx="2">
                  <c:v>20.62</c:v>
                </c:pt>
                <c:pt idx="3">
                  <c:v>20.5</c:v>
                </c:pt>
                <c:pt idx="4">
                  <c:v>20.5</c:v>
                </c:pt>
                <c:pt idx="5">
                  <c:v>20.56</c:v>
                </c:pt>
                <c:pt idx="6">
                  <c:v>20.62</c:v>
                </c:pt>
                <c:pt idx="7">
                  <c:v>20.68</c:v>
                </c:pt>
                <c:pt idx="8">
                  <c:v>21.06</c:v>
                </c:pt>
                <c:pt idx="9">
                  <c:v>22.62</c:v>
                </c:pt>
                <c:pt idx="10">
                  <c:v>23.5</c:v>
                </c:pt>
                <c:pt idx="11">
                  <c:v>24.31</c:v>
                </c:pt>
                <c:pt idx="12">
                  <c:v>24.62</c:v>
                </c:pt>
                <c:pt idx="13">
                  <c:v>25.19</c:v>
                </c:pt>
                <c:pt idx="14">
                  <c:v>24.56</c:v>
                </c:pt>
                <c:pt idx="15">
                  <c:v>24.87</c:v>
                </c:pt>
                <c:pt idx="16">
                  <c:v>24.69</c:v>
                </c:pt>
                <c:pt idx="17">
                  <c:v>23.69</c:v>
                </c:pt>
                <c:pt idx="18">
                  <c:v>23.31</c:v>
                </c:pt>
                <c:pt idx="19">
                  <c:v>22.68</c:v>
                </c:pt>
                <c:pt idx="20">
                  <c:v>22.56</c:v>
                </c:pt>
                <c:pt idx="21">
                  <c:v>22.5</c:v>
                </c:pt>
                <c:pt idx="22">
                  <c:v>22.18</c:v>
                </c:pt>
                <c:pt idx="23">
                  <c:v>22.5</c:v>
                </c:pt>
                <c:pt idx="24" formatCode="General">
                  <c:v>21.87</c:v>
                </c:pt>
              </c:numCache>
            </c:numRef>
          </c:yVal>
          <c:smooth val="0"/>
          <c:extLst>
            <c:ext xmlns:c16="http://schemas.microsoft.com/office/drawing/2014/chart" uri="{C3380CC4-5D6E-409C-BE32-E72D297353CC}">
              <c16:uniqueId val="{00000001-A4B5-4D6F-8C1E-41BB49973798}"/>
            </c:ext>
          </c:extLst>
        </c:ser>
        <c:ser>
          <c:idx val="1"/>
          <c:order val="1"/>
          <c:tx>
            <c:v>Model</c:v>
          </c:tx>
          <c:spPr>
            <a:ln w="19050">
              <a:solidFill>
                <a:prstClr val="black"/>
              </a:solidFill>
            </a:ln>
          </c:spPr>
          <c:marker>
            <c:symbol val="none"/>
          </c:marker>
          <c:xVal>
            <c:numRef>
              <c:f>McCallum!$B$15:$B$39</c:f>
              <c:numCache>
                <c:formatCode>m/d/yyyy\ h:mm</c:formatCode>
                <c:ptCount val="25"/>
                <c:pt idx="0">
                  <c:v>41450</c:v>
                </c:pt>
                <c:pt idx="1">
                  <c:v>41450.041666666664</c:v>
                </c:pt>
                <c:pt idx="2">
                  <c:v>41450.083333333336</c:v>
                </c:pt>
                <c:pt idx="3">
                  <c:v>41450.125</c:v>
                </c:pt>
                <c:pt idx="4">
                  <c:v>41450.166666666664</c:v>
                </c:pt>
                <c:pt idx="5">
                  <c:v>41450.208333333336</c:v>
                </c:pt>
                <c:pt idx="6">
                  <c:v>41450.25</c:v>
                </c:pt>
                <c:pt idx="7">
                  <c:v>41450.291666666664</c:v>
                </c:pt>
                <c:pt idx="8">
                  <c:v>41450.333333333336</c:v>
                </c:pt>
                <c:pt idx="9">
                  <c:v>41450.375</c:v>
                </c:pt>
                <c:pt idx="10">
                  <c:v>41450.416666666664</c:v>
                </c:pt>
                <c:pt idx="11">
                  <c:v>41450.458333333336</c:v>
                </c:pt>
                <c:pt idx="12">
                  <c:v>41450.5</c:v>
                </c:pt>
                <c:pt idx="13">
                  <c:v>41450.541666666664</c:v>
                </c:pt>
                <c:pt idx="14">
                  <c:v>41450.583333333336</c:v>
                </c:pt>
                <c:pt idx="15">
                  <c:v>41450.625</c:v>
                </c:pt>
                <c:pt idx="16">
                  <c:v>41450.666666666664</c:v>
                </c:pt>
                <c:pt idx="17">
                  <c:v>41450.708333333336</c:v>
                </c:pt>
                <c:pt idx="18">
                  <c:v>41450.75</c:v>
                </c:pt>
                <c:pt idx="19">
                  <c:v>41450.791666666664</c:v>
                </c:pt>
                <c:pt idx="20">
                  <c:v>41450.833333333336</c:v>
                </c:pt>
                <c:pt idx="21">
                  <c:v>41450.875</c:v>
                </c:pt>
                <c:pt idx="22">
                  <c:v>41450.916666666664</c:v>
                </c:pt>
                <c:pt idx="23">
                  <c:v>41450.958333333336</c:v>
                </c:pt>
                <c:pt idx="24">
                  <c:v>41451</c:v>
                </c:pt>
              </c:numCache>
            </c:numRef>
          </c:xVal>
          <c:yVal>
            <c:numRef>
              <c:f>McCallum!$F$15:$F$39</c:f>
              <c:numCache>
                <c:formatCode>0.00</c:formatCode>
                <c:ptCount val="25"/>
                <c:pt idx="0">
                  <c:v>21.59898772644366</c:v>
                </c:pt>
                <c:pt idx="1">
                  <c:v>20.96639464296744</c:v>
                </c:pt>
                <c:pt idx="2">
                  <c:v>20.582643728998889</c:v>
                </c:pt>
                <c:pt idx="3">
                  <c:v>20.506117194451772</c:v>
                </c:pt>
                <c:pt idx="4">
                  <c:v>20.557200701755189</c:v>
                </c:pt>
                <c:pt idx="5">
                  <c:v>20.546437540265057</c:v>
                </c:pt>
                <c:pt idx="6">
                  <c:v>20.506352202202759</c:v>
                </c:pt>
                <c:pt idx="7">
                  <c:v>20.688793610511606</c:v>
                </c:pt>
                <c:pt idx="8">
                  <c:v>21.322986327548218</c:v>
                </c:pt>
                <c:pt idx="9">
                  <c:v>22.36785429731027</c:v>
                </c:pt>
                <c:pt idx="10">
                  <c:v>23.500327552670793</c:v>
                </c:pt>
                <c:pt idx="11">
                  <c:v>24.352843852787156</c:v>
                </c:pt>
                <c:pt idx="12">
                  <c:v>24.775155283221096</c:v>
                </c:pt>
                <c:pt idx="13">
                  <c:v>24.881399890964847</c:v>
                </c:pt>
                <c:pt idx="14">
                  <c:v>24.86187063988541</c:v>
                </c:pt>
                <c:pt idx="15">
                  <c:v>24.768205969980375</c:v>
                </c:pt>
                <c:pt idx="16">
                  <c:v>24.492603857229309</c:v>
                </c:pt>
                <c:pt idx="17">
                  <c:v>23.949699578722679</c:v>
                </c:pt>
                <c:pt idx="18">
                  <c:v>23.253361330497569</c:v>
                </c:pt>
                <c:pt idx="19">
                  <c:v>22.682083252237554</c:v>
                </c:pt>
                <c:pt idx="20">
                  <c:v>22.445810265713757</c:v>
                </c:pt>
                <c:pt idx="21">
                  <c:v>22.48095821162573</c:v>
                </c:pt>
                <c:pt idx="22">
                  <c:v>22.488188707551878</c:v>
                </c:pt>
                <c:pt idx="23">
                  <c:v>22.194700281914116</c:v>
                </c:pt>
                <c:pt idx="24">
                  <c:v>21.598987726402953</c:v>
                </c:pt>
              </c:numCache>
            </c:numRef>
          </c:yVal>
          <c:smooth val="0"/>
          <c:extLst>
            <c:ext xmlns:c16="http://schemas.microsoft.com/office/drawing/2014/chart" uri="{C3380CC4-5D6E-409C-BE32-E72D297353CC}">
              <c16:uniqueId val="{00000002-A4B5-4D6F-8C1E-41BB49973798}"/>
            </c:ext>
          </c:extLst>
        </c:ser>
        <c:dLbls>
          <c:showLegendKey val="0"/>
          <c:showVal val="0"/>
          <c:showCatName val="0"/>
          <c:showSerName val="0"/>
          <c:showPercent val="0"/>
          <c:showBubbleSize val="0"/>
        </c:dLbls>
        <c:axId val="814824648"/>
        <c:axId val="814824976"/>
      </c:scatterChart>
      <c:valAx>
        <c:axId val="814824648"/>
        <c:scaling>
          <c:orientation val="minMax"/>
        </c:scaling>
        <c:delete val="0"/>
        <c:axPos val="b"/>
        <c:title>
          <c:tx>
            <c:rich>
              <a:bodyPr/>
              <a:lstStyle/>
              <a:p>
                <a:pPr>
                  <a:defRPr sz="1400" b="0"/>
                </a:pPr>
                <a:r>
                  <a:rPr lang="en-US"/>
                  <a:t>Time</a:t>
                </a:r>
              </a:p>
            </c:rich>
          </c:tx>
          <c:overlay val="0"/>
        </c:title>
        <c:numFmt formatCode="hh:mm" sourceLinked="0"/>
        <c:majorTickMark val="out"/>
        <c:minorTickMark val="none"/>
        <c:tickLblPos val="nextTo"/>
        <c:crossAx val="814824976"/>
        <c:crosses val="autoZero"/>
        <c:crossBetween val="midCat"/>
      </c:valAx>
      <c:valAx>
        <c:axId val="814824976"/>
        <c:scaling>
          <c:orientation val="minMax"/>
          <c:max val="26.125469885513091"/>
          <c:min val="19.480811334729182"/>
        </c:scaling>
        <c:delete val="0"/>
        <c:axPos val="l"/>
        <c:title>
          <c:tx>
            <c:rich>
              <a:bodyPr/>
              <a:lstStyle/>
              <a:p>
                <a:pPr>
                  <a:defRPr sz="1400" b="0"/>
                </a:pPr>
                <a:r>
                  <a:rPr lang="en-US"/>
                  <a:t>Temperature, oC</a:t>
                </a:r>
              </a:p>
            </c:rich>
          </c:tx>
          <c:overlay val="0"/>
        </c:title>
        <c:numFmt formatCode="0.00" sourceLinked="0"/>
        <c:majorTickMark val="out"/>
        <c:minorTickMark val="none"/>
        <c:tickLblPos val="nextTo"/>
        <c:crossAx val="814824648"/>
        <c:crosses val="autoZero"/>
        <c:crossBetween val="midCat"/>
      </c:valAx>
      <c:spPr>
        <a:solidFill>
          <a:srgbClr val="F2F2F2"/>
        </a:solidFill>
      </c:spPr>
    </c:plotArea>
    <c:legend>
      <c:legendPos val="r"/>
      <c:overlay val="0"/>
    </c:legend>
    <c:plotVisOnly val="0"/>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Tz, R^2=0.989</a:t>
            </a:r>
          </a:p>
        </c:rich>
      </c:tx>
      <c:overlay val="0"/>
    </c:title>
    <c:autoTitleDeleted val="0"/>
    <c:plotArea>
      <c:layout/>
      <c:scatterChart>
        <c:scatterStyle val="lineMarker"/>
        <c:varyColors val="0"/>
        <c:ser>
          <c:idx val="0"/>
          <c:order val="0"/>
          <c:tx>
            <c:v>Data</c:v>
          </c:tx>
          <c:spPr>
            <a:ln w="19050" cap="rnd" cmpd="sng" algn="ctr">
              <a:noFill/>
              <a:prstDash val="solid"/>
              <a:round/>
            </a:ln>
            <a:effectLst/>
            <a:extLst>
              <a:ext uri="{91240B29-F687-4F45-9708-019B960494DF}">
                <a14:hiddenLine xmlns:a14="http://schemas.microsoft.com/office/drawing/2010/main" w="19050" cap="rnd" cmpd="sng" algn="ctr">
                  <a:solidFill>
                    <a:srgbClr val="5B9BD5"/>
                  </a:solidFill>
                  <a:prstDash val="solid"/>
                  <a:round/>
                </a14:hiddenLine>
              </a:ext>
            </a:extLst>
          </c:spPr>
          <c:marker>
            <c:symbol val="circle"/>
            <c:size val="8"/>
            <c:spPr>
              <a:solidFill>
                <a:srgbClr val="FFFF00"/>
              </a:solidFill>
              <a:ln w="3175">
                <a:solidFill>
                  <a:srgbClr val="000000"/>
                </a:solidFill>
                <a:prstDash val="solid"/>
              </a:ln>
              <a:effectLst/>
              <a:extLst/>
            </c:spPr>
          </c:marker>
          <c:xVal>
            <c:numRef>
              <c:f>McCallum!$D$15:$D$39</c:f>
              <c:numCache>
                <c:formatCode>m/d/yyyy\ h:mm</c:formatCode>
                <c:ptCount val="25"/>
                <c:pt idx="0">
                  <c:v>41450</c:v>
                </c:pt>
                <c:pt idx="1">
                  <c:v>41450.041666666664</c:v>
                </c:pt>
                <c:pt idx="2">
                  <c:v>41450.083333333336</c:v>
                </c:pt>
                <c:pt idx="3">
                  <c:v>41450.125</c:v>
                </c:pt>
                <c:pt idx="4">
                  <c:v>41450.166666666664</c:v>
                </c:pt>
                <c:pt idx="5">
                  <c:v>41450.208333333336</c:v>
                </c:pt>
                <c:pt idx="6">
                  <c:v>41450.25</c:v>
                </c:pt>
                <c:pt idx="7">
                  <c:v>41450.291666666664</c:v>
                </c:pt>
                <c:pt idx="8">
                  <c:v>41450.333333333336</c:v>
                </c:pt>
                <c:pt idx="9">
                  <c:v>41450.375</c:v>
                </c:pt>
                <c:pt idx="10">
                  <c:v>41450.416666666664</c:v>
                </c:pt>
                <c:pt idx="11">
                  <c:v>41450.458333333336</c:v>
                </c:pt>
                <c:pt idx="12">
                  <c:v>41450.5</c:v>
                </c:pt>
                <c:pt idx="13">
                  <c:v>41450.541666666664</c:v>
                </c:pt>
                <c:pt idx="14">
                  <c:v>41450.583333333336</c:v>
                </c:pt>
                <c:pt idx="15">
                  <c:v>41450.625</c:v>
                </c:pt>
                <c:pt idx="16">
                  <c:v>41450.666666666664</c:v>
                </c:pt>
                <c:pt idx="17">
                  <c:v>41450.708333333336</c:v>
                </c:pt>
                <c:pt idx="18">
                  <c:v>41450.75</c:v>
                </c:pt>
                <c:pt idx="19">
                  <c:v>41450.791666666664</c:v>
                </c:pt>
                <c:pt idx="20">
                  <c:v>41450.833333333336</c:v>
                </c:pt>
                <c:pt idx="21">
                  <c:v>41450.875</c:v>
                </c:pt>
                <c:pt idx="22">
                  <c:v>41450.916666666664</c:v>
                </c:pt>
                <c:pt idx="23">
                  <c:v>41450.958333333336</c:v>
                </c:pt>
                <c:pt idx="24">
                  <c:v>41451</c:v>
                </c:pt>
              </c:numCache>
            </c:numRef>
          </c:xVal>
          <c:yVal>
            <c:numRef>
              <c:f>McCallum!$E$15:$E$39</c:f>
              <c:numCache>
                <c:formatCode>0.00</c:formatCode>
                <c:ptCount val="25"/>
                <c:pt idx="0">
                  <c:v>15.76</c:v>
                </c:pt>
                <c:pt idx="1">
                  <c:v>15.76</c:v>
                </c:pt>
                <c:pt idx="2">
                  <c:v>15.7</c:v>
                </c:pt>
                <c:pt idx="3">
                  <c:v>15.7</c:v>
                </c:pt>
                <c:pt idx="4">
                  <c:v>15.64</c:v>
                </c:pt>
                <c:pt idx="5">
                  <c:v>15.57</c:v>
                </c:pt>
                <c:pt idx="6">
                  <c:v>15.57</c:v>
                </c:pt>
                <c:pt idx="7">
                  <c:v>15.51</c:v>
                </c:pt>
                <c:pt idx="8">
                  <c:v>15.45</c:v>
                </c:pt>
                <c:pt idx="9">
                  <c:v>15.45</c:v>
                </c:pt>
                <c:pt idx="10">
                  <c:v>15.39</c:v>
                </c:pt>
                <c:pt idx="11">
                  <c:v>15.39</c:v>
                </c:pt>
                <c:pt idx="12">
                  <c:v>15.39</c:v>
                </c:pt>
                <c:pt idx="13">
                  <c:v>15.39</c:v>
                </c:pt>
                <c:pt idx="14">
                  <c:v>15.45</c:v>
                </c:pt>
                <c:pt idx="15">
                  <c:v>15.51</c:v>
                </c:pt>
                <c:pt idx="16">
                  <c:v>15.57</c:v>
                </c:pt>
                <c:pt idx="17">
                  <c:v>15.64</c:v>
                </c:pt>
                <c:pt idx="18">
                  <c:v>15.7</c:v>
                </c:pt>
                <c:pt idx="19">
                  <c:v>15.7</c:v>
                </c:pt>
                <c:pt idx="20">
                  <c:v>15.76</c:v>
                </c:pt>
                <c:pt idx="21">
                  <c:v>15.76</c:v>
                </c:pt>
                <c:pt idx="22">
                  <c:v>15.82</c:v>
                </c:pt>
                <c:pt idx="23">
                  <c:v>15.82</c:v>
                </c:pt>
                <c:pt idx="24" formatCode="General">
                  <c:v>15.76</c:v>
                </c:pt>
              </c:numCache>
            </c:numRef>
          </c:yVal>
          <c:smooth val="0"/>
          <c:extLst>
            <c:ext xmlns:c16="http://schemas.microsoft.com/office/drawing/2014/chart" uri="{C3380CC4-5D6E-409C-BE32-E72D297353CC}">
              <c16:uniqueId val="{00000001-156A-4F0C-B91E-7FACE5661968}"/>
            </c:ext>
          </c:extLst>
        </c:ser>
        <c:ser>
          <c:idx val="1"/>
          <c:order val="1"/>
          <c:tx>
            <c:v>Model</c:v>
          </c:tx>
          <c:spPr>
            <a:ln w="19050">
              <a:solidFill>
                <a:prstClr val="black"/>
              </a:solidFill>
            </a:ln>
          </c:spPr>
          <c:marker>
            <c:symbol val="none"/>
          </c:marker>
          <c:xVal>
            <c:numRef>
              <c:f>McCallum!$D$15:$D$39</c:f>
              <c:numCache>
                <c:formatCode>m/d/yyyy\ h:mm</c:formatCode>
                <c:ptCount val="25"/>
                <c:pt idx="0">
                  <c:v>41450</c:v>
                </c:pt>
                <c:pt idx="1">
                  <c:v>41450.041666666664</c:v>
                </c:pt>
                <c:pt idx="2">
                  <c:v>41450.083333333336</c:v>
                </c:pt>
                <c:pt idx="3">
                  <c:v>41450.125</c:v>
                </c:pt>
                <c:pt idx="4">
                  <c:v>41450.166666666664</c:v>
                </c:pt>
                <c:pt idx="5">
                  <c:v>41450.208333333336</c:v>
                </c:pt>
                <c:pt idx="6">
                  <c:v>41450.25</c:v>
                </c:pt>
                <c:pt idx="7">
                  <c:v>41450.291666666664</c:v>
                </c:pt>
                <c:pt idx="8">
                  <c:v>41450.333333333336</c:v>
                </c:pt>
                <c:pt idx="9">
                  <c:v>41450.375</c:v>
                </c:pt>
                <c:pt idx="10">
                  <c:v>41450.416666666664</c:v>
                </c:pt>
                <c:pt idx="11">
                  <c:v>41450.458333333336</c:v>
                </c:pt>
                <c:pt idx="12">
                  <c:v>41450.5</c:v>
                </c:pt>
                <c:pt idx="13">
                  <c:v>41450.541666666664</c:v>
                </c:pt>
                <c:pt idx="14">
                  <c:v>41450.583333333336</c:v>
                </c:pt>
                <c:pt idx="15">
                  <c:v>41450.625</c:v>
                </c:pt>
                <c:pt idx="16">
                  <c:v>41450.666666666664</c:v>
                </c:pt>
                <c:pt idx="17">
                  <c:v>41450.708333333336</c:v>
                </c:pt>
                <c:pt idx="18">
                  <c:v>41450.75</c:v>
                </c:pt>
                <c:pt idx="19">
                  <c:v>41450.791666666664</c:v>
                </c:pt>
                <c:pt idx="20">
                  <c:v>41450.833333333336</c:v>
                </c:pt>
                <c:pt idx="21">
                  <c:v>41450.875</c:v>
                </c:pt>
                <c:pt idx="22">
                  <c:v>41450.916666666664</c:v>
                </c:pt>
                <c:pt idx="23">
                  <c:v>41450.958333333336</c:v>
                </c:pt>
                <c:pt idx="24">
                  <c:v>41451</c:v>
                </c:pt>
              </c:numCache>
            </c:numRef>
          </c:xVal>
          <c:yVal>
            <c:numRef>
              <c:f>McCallum!$H$15:$H$39</c:f>
              <c:numCache>
                <c:formatCode>0.00</c:formatCode>
                <c:ptCount val="25"/>
                <c:pt idx="0">
                  <c:v>15.778278012020154</c:v>
                </c:pt>
                <c:pt idx="1">
                  <c:v>15.745150862542541</c:v>
                </c:pt>
                <c:pt idx="2">
                  <c:v>15.710468966851217</c:v>
                </c:pt>
                <c:pt idx="3">
                  <c:v>15.677288846104604</c:v>
                </c:pt>
                <c:pt idx="4">
                  <c:v>15.641602333564601</c:v>
                </c:pt>
                <c:pt idx="5">
                  <c:v>15.598947605518719</c:v>
                </c:pt>
                <c:pt idx="6">
                  <c:v>15.550710936763357</c:v>
                </c:pt>
                <c:pt idx="7">
                  <c:v>15.503747891521167</c:v>
                </c:pt>
                <c:pt idx="8">
                  <c:v>15.464263031527668</c:v>
                </c:pt>
                <c:pt idx="9">
                  <c:v>15.432966691020038</c:v>
                </c:pt>
                <c:pt idx="10">
                  <c:v>15.407044648304081</c:v>
                </c:pt>
                <c:pt idx="11">
                  <c:v>15.386962570722817</c:v>
                </c:pt>
                <c:pt idx="12">
                  <c:v>15.380437247574099</c:v>
                </c:pt>
                <c:pt idx="13">
                  <c:v>15.398187237726471</c:v>
                </c:pt>
                <c:pt idx="14">
                  <c:v>15.444366796516979</c:v>
                </c:pt>
                <c:pt idx="15">
                  <c:v>15.510600980163405</c:v>
                </c:pt>
                <c:pt idx="16">
                  <c:v>15.579940702244098</c:v>
                </c:pt>
                <c:pt idx="17">
                  <c:v>15.637967625519712</c:v>
                </c:pt>
                <c:pt idx="18">
                  <c:v>15.68141414100185</c:v>
                </c:pt>
                <c:pt idx="19">
                  <c:v>15.716808645853162</c:v>
                </c:pt>
                <c:pt idx="20">
                  <c:v>15.750909170026317</c:v>
                </c:pt>
                <c:pt idx="21">
                  <c:v>15.782210474629789</c:v>
                </c:pt>
                <c:pt idx="22">
                  <c:v>15.801425007520903</c:v>
                </c:pt>
                <c:pt idx="23">
                  <c:v>15.8000215625857</c:v>
                </c:pt>
                <c:pt idx="24">
                  <c:v>15.778278012018006</c:v>
                </c:pt>
              </c:numCache>
            </c:numRef>
          </c:yVal>
          <c:smooth val="0"/>
          <c:extLst>
            <c:ext xmlns:c16="http://schemas.microsoft.com/office/drawing/2014/chart" uri="{C3380CC4-5D6E-409C-BE32-E72D297353CC}">
              <c16:uniqueId val="{00000002-156A-4F0C-B91E-7FACE5661968}"/>
            </c:ext>
          </c:extLst>
        </c:ser>
        <c:dLbls>
          <c:showLegendKey val="0"/>
          <c:showVal val="0"/>
          <c:showCatName val="0"/>
          <c:showSerName val="0"/>
          <c:showPercent val="0"/>
          <c:showBubbleSize val="0"/>
        </c:dLbls>
        <c:axId val="814825632"/>
        <c:axId val="814833176"/>
      </c:scatterChart>
      <c:valAx>
        <c:axId val="814825632"/>
        <c:scaling>
          <c:orientation val="minMax"/>
        </c:scaling>
        <c:delete val="0"/>
        <c:axPos val="b"/>
        <c:title>
          <c:tx>
            <c:rich>
              <a:bodyPr/>
              <a:lstStyle/>
              <a:p>
                <a:pPr>
                  <a:defRPr sz="1400" b="0"/>
                </a:pPr>
                <a:r>
                  <a:rPr lang="en-US"/>
                  <a:t>Time</a:t>
                </a:r>
              </a:p>
            </c:rich>
          </c:tx>
          <c:overlay val="0"/>
        </c:title>
        <c:numFmt formatCode="hh:mm" sourceLinked="0"/>
        <c:majorTickMark val="out"/>
        <c:minorTickMark val="none"/>
        <c:tickLblPos val="nextTo"/>
        <c:crossAx val="814833176"/>
        <c:crosses val="autoZero"/>
        <c:crossBetween val="midCat"/>
      </c:valAx>
      <c:valAx>
        <c:axId val="814833176"/>
        <c:scaling>
          <c:orientation val="minMax"/>
          <c:max val="15.959439257596113"/>
          <c:min val="15.226632875098357"/>
        </c:scaling>
        <c:delete val="0"/>
        <c:axPos val="l"/>
        <c:title>
          <c:tx>
            <c:rich>
              <a:bodyPr/>
              <a:lstStyle/>
              <a:p>
                <a:pPr>
                  <a:defRPr sz="1400" b="0"/>
                </a:pPr>
                <a:r>
                  <a:rPr lang="en-US"/>
                  <a:t>Temperature, oC</a:t>
                </a:r>
              </a:p>
            </c:rich>
          </c:tx>
          <c:overlay val="0"/>
        </c:title>
        <c:numFmt formatCode="0.00" sourceLinked="0"/>
        <c:majorTickMark val="out"/>
        <c:minorTickMark val="none"/>
        <c:tickLblPos val="nextTo"/>
        <c:crossAx val="814825632"/>
        <c:crosses val="autoZero"/>
        <c:crossBetween val="midCat"/>
      </c:valAx>
      <c:spPr>
        <a:solidFill>
          <a:srgbClr val="F2F2F2"/>
        </a:solidFill>
      </c:spPr>
    </c:plotArea>
    <c:legend>
      <c:legendPos val="r"/>
      <c:overlay val="0"/>
    </c:legend>
    <c:plotVisOnly val="0"/>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38100</xdr:rowOff>
    </xdr:from>
    <xdr:to>
      <xdr:col>12</xdr:col>
      <xdr:colOff>0</xdr:colOff>
      <xdr:row>72</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 y="38100"/>
          <a:ext cx="9614379" cy="11877136"/>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400"/>
            <a:t>This workbook is a beta version of groundwater seepage calculator based on the analytical solutions from the following journal articles:</a:t>
          </a:r>
        </a:p>
        <a:p>
          <a:endParaRPr lang="en-US" sz="1400"/>
        </a:p>
        <a:p>
          <a:pPr lvl="1"/>
          <a:r>
            <a:rPr lang="en-US" sz="1400">
              <a:solidFill>
                <a:schemeClr val="dk1"/>
              </a:solidFill>
              <a:effectLst/>
              <a:latin typeface="+mn-lt"/>
              <a:ea typeface="+mn-ea"/>
              <a:cs typeface="+mn-cs"/>
            </a:rPr>
            <a:t>Hatch, C.E., Fisher, A.T., Revenaugh, J.S., Constantz, J. and Ruehl, C., 2006. Quantifying surface water - groundwater interactions using time-series analysis of streambed thermal records: Method development. Water Resour. Res., 42(10): W10410.</a:t>
          </a:r>
        </a:p>
        <a:p>
          <a:r>
            <a:rPr lang="en-US" sz="1400">
              <a:solidFill>
                <a:schemeClr val="dk1"/>
              </a:solidFill>
              <a:effectLst/>
              <a:latin typeface="+mn-lt"/>
              <a:ea typeface="+mn-ea"/>
              <a:cs typeface="+mn-cs"/>
            </a:rPr>
            <a:t> </a:t>
          </a:r>
        </a:p>
        <a:p>
          <a:pPr lvl="1"/>
          <a:r>
            <a:rPr lang="en-US" sz="1400">
              <a:solidFill>
                <a:schemeClr val="dk1"/>
              </a:solidFill>
              <a:effectLst/>
              <a:latin typeface="+mn-lt"/>
              <a:ea typeface="+mn-ea"/>
              <a:cs typeface="+mn-cs"/>
            </a:rPr>
            <a:t>McCallum, A.M., Andersen, M.S., Rau, G.C. and Acworth, R.I., 2012. A 1-D analytical method for estimating surface water–groundwater interactions and effective thermal diffusivity using temperature time-series. Water Resources Research, 48(11): W11532.</a:t>
          </a:r>
        </a:p>
        <a:p>
          <a:r>
            <a:rPr lang="en-US" sz="1400">
              <a:solidFill>
                <a:schemeClr val="dk1"/>
              </a:solidFill>
              <a:effectLst/>
              <a:latin typeface="+mn-lt"/>
              <a:ea typeface="+mn-ea"/>
              <a:cs typeface="+mn-cs"/>
            </a:rPr>
            <a:t> </a:t>
          </a:r>
        </a:p>
        <a:p>
          <a:r>
            <a:rPr lang="en-US" sz="1400">
              <a:solidFill>
                <a:schemeClr val="dk1"/>
              </a:solidFill>
              <a:effectLst/>
              <a:latin typeface="+mn-lt"/>
              <a:ea typeface="+mn-ea"/>
              <a:cs typeface="+mn-cs"/>
            </a:rPr>
            <a:t>This workbook utilizes diurnal transient sediment temperature profile to estimate groundwater seepage flux. Users are encouraged to familiarize with the theory beforehand. The assumed parameters in the transient models were porosity (η), volumetric heat capacity of fluid (ρ</a:t>
          </a:r>
          <a:r>
            <a:rPr lang="en-US" sz="1400" baseline="-25000">
              <a:solidFill>
                <a:schemeClr val="dk1"/>
              </a:solidFill>
              <a:effectLst/>
              <a:latin typeface="+mn-lt"/>
              <a:ea typeface="+mn-ea"/>
              <a:cs typeface="+mn-cs"/>
            </a:rPr>
            <a:t>f</a:t>
          </a:r>
          <a:r>
            <a:rPr lang="en-US" sz="1400">
              <a:solidFill>
                <a:schemeClr val="dk1"/>
              </a:solidFill>
              <a:effectLst/>
              <a:latin typeface="+mn-lt"/>
              <a:ea typeface="+mn-ea"/>
              <a:cs typeface="+mn-cs"/>
            </a:rPr>
            <a:t>c</a:t>
          </a:r>
          <a:r>
            <a:rPr lang="en-US" sz="1400" baseline="-25000">
              <a:solidFill>
                <a:schemeClr val="dk1"/>
              </a:solidFill>
              <a:effectLst/>
              <a:latin typeface="+mn-lt"/>
              <a:ea typeface="+mn-ea"/>
              <a:cs typeface="+mn-cs"/>
            </a:rPr>
            <a:t>f </a:t>
          </a:r>
          <a:r>
            <a:rPr lang="en-US" sz="1400">
              <a:solidFill>
                <a:schemeClr val="dk1"/>
              </a:solidFill>
              <a:effectLst/>
              <a:latin typeface="+mn-lt"/>
              <a:ea typeface="+mn-ea"/>
              <a:cs typeface="+mn-cs"/>
            </a:rPr>
            <a:t>), volumetric heat capacity of solid (ρ</a:t>
          </a:r>
          <a:r>
            <a:rPr lang="en-US" sz="1400" baseline="-25000">
              <a:solidFill>
                <a:schemeClr val="dk1"/>
              </a:solidFill>
              <a:effectLst/>
              <a:latin typeface="+mn-lt"/>
              <a:ea typeface="+mn-ea"/>
              <a:cs typeface="+mn-cs"/>
            </a:rPr>
            <a:t>s</a:t>
          </a:r>
          <a:r>
            <a:rPr lang="en-US" sz="1400">
              <a:solidFill>
                <a:schemeClr val="dk1"/>
              </a:solidFill>
              <a:effectLst/>
              <a:latin typeface="+mn-lt"/>
              <a:ea typeface="+mn-ea"/>
              <a:cs typeface="+mn-cs"/>
            </a:rPr>
            <a:t>c</a:t>
          </a:r>
          <a:r>
            <a:rPr lang="en-US" sz="1400" baseline="-25000">
              <a:solidFill>
                <a:schemeClr val="dk1"/>
              </a:solidFill>
              <a:effectLst/>
              <a:latin typeface="+mn-lt"/>
              <a:ea typeface="+mn-ea"/>
              <a:cs typeface="+mn-cs"/>
            </a:rPr>
            <a:t>s </a:t>
          </a:r>
          <a:r>
            <a:rPr lang="en-US" sz="1400">
              <a:solidFill>
                <a:schemeClr val="dk1"/>
              </a:solidFill>
              <a:effectLst/>
              <a:latin typeface="+mn-lt"/>
              <a:ea typeface="+mn-ea"/>
              <a:cs typeface="+mn-cs"/>
            </a:rPr>
            <a:t>), thermal dispersivity (β), and the thermal conductivity of the saturated porous media (k).  </a:t>
          </a:r>
        </a:p>
        <a:p>
          <a:pPr marL="0" marR="0" indent="0" defTabSz="914400" eaLnBrk="1" fontAlgn="auto" latinLnBrk="0" hangingPunct="1">
            <a:lnSpc>
              <a:spcPct val="100000"/>
            </a:lnSpc>
            <a:spcBef>
              <a:spcPts val="0"/>
            </a:spcBef>
            <a:spcAft>
              <a:spcPts val="0"/>
            </a:spcAft>
            <a:buClrTx/>
            <a:buSzTx/>
            <a:buFontTx/>
            <a:buNone/>
            <a:tabLst/>
            <a:defRPr/>
          </a:pPr>
          <a:endParaRPr lang="en-US" sz="1400"/>
        </a:p>
        <a:p>
          <a:r>
            <a:rPr lang="en-US" sz="1400">
              <a:solidFill>
                <a:schemeClr val="dk1"/>
              </a:solidFill>
              <a:effectLst/>
              <a:latin typeface="+mn-lt"/>
              <a:ea typeface="+mn-ea"/>
              <a:cs typeface="+mn-cs"/>
            </a:rPr>
            <a:t>This workbook is developed under the Microsoft Excel 2016 platform. The Excel Solver add-in is required for the workbook to run properly.  To enable the Solver Add-in in Excel, please do the following steps:</a:t>
          </a:r>
        </a:p>
        <a:p>
          <a:endParaRPr lang="en-US" sz="1400">
            <a:effectLst/>
          </a:endParaRPr>
        </a:p>
        <a:p>
          <a:r>
            <a:rPr lang="en-US" sz="1400">
              <a:solidFill>
                <a:schemeClr val="dk1"/>
              </a:solidFill>
              <a:effectLst/>
              <a:latin typeface="+mn-lt"/>
              <a:ea typeface="+mn-ea"/>
              <a:cs typeface="+mn-cs"/>
            </a:rPr>
            <a:t>	1)</a:t>
          </a:r>
          <a:r>
            <a:rPr lang="en-US" sz="1400" baseline="0">
              <a:solidFill>
                <a:schemeClr val="dk1"/>
              </a:solidFill>
              <a:effectLst/>
              <a:latin typeface="+mn-lt"/>
              <a:ea typeface="+mn-ea"/>
              <a:cs typeface="+mn-cs"/>
            </a:rPr>
            <a:t> </a:t>
          </a:r>
          <a:r>
            <a:rPr lang="en-US" sz="1400">
              <a:solidFill>
                <a:schemeClr val="dk1"/>
              </a:solidFill>
              <a:effectLst/>
              <a:latin typeface="+mn-lt"/>
              <a:ea typeface="+mn-ea"/>
              <a:cs typeface="+mn-cs"/>
            </a:rPr>
            <a:t>In Excel 2010 and later goto </a:t>
          </a:r>
          <a:r>
            <a:rPr lang="en-US" sz="1400" b="1">
              <a:solidFill>
                <a:schemeClr val="dk1"/>
              </a:solidFill>
              <a:effectLst/>
              <a:latin typeface="+mn-lt"/>
              <a:ea typeface="+mn-ea"/>
              <a:cs typeface="+mn-cs"/>
            </a:rPr>
            <a:t>File &gt; Options</a:t>
          </a:r>
          <a:endParaRPr lang="en-US" sz="1400">
            <a:effectLst/>
          </a:endParaRPr>
        </a:p>
        <a:p>
          <a:r>
            <a:rPr lang="en-US" sz="1400">
              <a:solidFill>
                <a:schemeClr val="dk1"/>
              </a:solidFill>
              <a:effectLst/>
              <a:latin typeface="+mn-lt"/>
              <a:ea typeface="+mn-ea"/>
              <a:cs typeface="+mn-cs"/>
            </a:rPr>
            <a:t>	2)</a:t>
          </a:r>
          <a:r>
            <a:rPr lang="en-US" sz="1400" baseline="0">
              <a:solidFill>
                <a:schemeClr val="dk1"/>
              </a:solidFill>
              <a:effectLst/>
              <a:latin typeface="+mn-lt"/>
              <a:ea typeface="+mn-ea"/>
              <a:cs typeface="+mn-cs"/>
            </a:rPr>
            <a:t> </a:t>
          </a:r>
          <a:r>
            <a:rPr lang="en-US" sz="1400">
              <a:solidFill>
                <a:schemeClr val="dk1"/>
              </a:solidFill>
              <a:effectLst/>
              <a:latin typeface="+mn-lt"/>
              <a:ea typeface="+mn-ea"/>
              <a:cs typeface="+mn-cs"/>
            </a:rPr>
            <a:t>Click </a:t>
          </a:r>
          <a:r>
            <a:rPr lang="en-US" sz="1400" b="1">
              <a:solidFill>
                <a:schemeClr val="dk1"/>
              </a:solidFill>
              <a:effectLst/>
              <a:latin typeface="+mn-lt"/>
              <a:ea typeface="+mn-ea"/>
              <a:cs typeface="+mn-cs"/>
            </a:rPr>
            <a:t>Add-Ins</a:t>
          </a:r>
          <a:r>
            <a:rPr lang="en-US" sz="1400">
              <a:solidFill>
                <a:schemeClr val="dk1"/>
              </a:solidFill>
              <a:effectLst/>
              <a:latin typeface="+mn-lt"/>
              <a:ea typeface="+mn-ea"/>
              <a:cs typeface="+mn-cs"/>
            </a:rPr>
            <a:t>, and then in the </a:t>
          </a:r>
          <a:r>
            <a:rPr lang="en-US" sz="1400" b="1">
              <a:solidFill>
                <a:schemeClr val="dk1"/>
              </a:solidFill>
              <a:effectLst/>
              <a:latin typeface="+mn-lt"/>
              <a:ea typeface="+mn-ea"/>
              <a:cs typeface="+mn-cs"/>
            </a:rPr>
            <a:t>Manage</a:t>
          </a:r>
          <a:r>
            <a:rPr lang="en-US" sz="1400">
              <a:solidFill>
                <a:schemeClr val="dk1"/>
              </a:solidFill>
              <a:effectLst/>
              <a:latin typeface="+mn-lt"/>
              <a:ea typeface="+mn-ea"/>
              <a:cs typeface="+mn-cs"/>
            </a:rPr>
            <a:t> box, select </a:t>
          </a:r>
          <a:r>
            <a:rPr lang="en-US" sz="1400" b="1">
              <a:solidFill>
                <a:schemeClr val="dk1"/>
              </a:solidFill>
              <a:effectLst/>
              <a:latin typeface="+mn-lt"/>
              <a:ea typeface="+mn-ea"/>
              <a:cs typeface="+mn-cs"/>
            </a:rPr>
            <a:t>Excel Add-ins</a:t>
          </a:r>
          <a:r>
            <a:rPr lang="en-US" sz="1400">
              <a:solidFill>
                <a:schemeClr val="dk1"/>
              </a:solidFill>
              <a:effectLst/>
              <a:latin typeface="+mn-lt"/>
              <a:ea typeface="+mn-ea"/>
              <a:cs typeface="+mn-cs"/>
            </a:rPr>
            <a:t>.</a:t>
          </a:r>
          <a:endParaRPr lang="en-US" sz="1400">
            <a:effectLst/>
          </a:endParaRPr>
        </a:p>
        <a:p>
          <a:r>
            <a:rPr lang="en-US" sz="1400">
              <a:solidFill>
                <a:schemeClr val="dk1"/>
              </a:solidFill>
              <a:effectLst/>
              <a:latin typeface="+mn-lt"/>
              <a:ea typeface="+mn-ea"/>
              <a:cs typeface="+mn-cs"/>
            </a:rPr>
            <a:t>	3)</a:t>
          </a:r>
          <a:r>
            <a:rPr lang="en-US" sz="1400" baseline="0">
              <a:solidFill>
                <a:schemeClr val="dk1"/>
              </a:solidFill>
              <a:effectLst/>
              <a:latin typeface="+mn-lt"/>
              <a:ea typeface="+mn-ea"/>
              <a:cs typeface="+mn-cs"/>
            </a:rPr>
            <a:t> </a:t>
          </a:r>
          <a:r>
            <a:rPr lang="en-US" sz="1400">
              <a:solidFill>
                <a:schemeClr val="dk1"/>
              </a:solidFill>
              <a:effectLst/>
              <a:latin typeface="+mn-lt"/>
              <a:ea typeface="+mn-ea"/>
              <a:cs typeface="+mn-cs"/>
            </a:rPr>
            <a:t>Click </a:t>
          </a:r>
          <a:r>
            <a:rPr lang="en-US" sz="1400" b="1">
              <a:solidFill>
                <a:schemeClr val="dk1"/>
              </a:solidFill>
              <a:effectLst/>
              <a:latin typeface="+mn-lt"/>
              <a:ea typeface="+mn-ea"/>
              <a:cs typeface="+mn-cs"/>
            </a:rPr>
            <a:t>Go</a:t>
          </a:r>
          <a:r>
            <a:rPr lang="en-US" sz="1400">
              <a:solidFill>
                <a:schemeClr val="dk1"/>
              </a:solidFill>
              <a:effectLst/>
              <a:latin typeface="+mn-lt"/>
              <a:ea typeface="+mn-ea"/>
              <a:cs typeface="+mn-cs"/>
            </a:rPr>
            <a:t>.</a:t>
          </a:r>
          <a:endParaRPr lang="en-US" sz="1400">
            <a:effectLst/>
          </a:endParaRPr>
        </a:p>
        <a:p>
          <a:r>
            <a:rPr lang="en-US" sz="1400">
              <a:solidFill>
                <a:schemeClr val="dk1"/>
              </a:solidFill>
              <a:effectLst/>
              <a:latin typeface="+mn-lt"/>
              <a:ea typeface="+mn-ea"/>
              <a:cs typeface="+mn-cs"/>
            </a:rPr>
            <a:t>	4)</a:t>
          </a:r>
          <a:r>
            <a:rPr lang="en-US" sz="1400" baseline="0">
              <a:solidFill>
                <a:schemeClr val="dk1"/>
              </a:solidFill>
              <a:effectLst/>
              <a:latin typeface="+mn-lt"/>
              <a:ea typeface="+mn-ea"/>
              <a:cs typeface="+mn-cs"/>
            </a:rPr>
            <a:t> </a:t>
          </a:r>
          <a:r>
            <a:rPr lang="en-US" sz="1400">
              <a:solidFill>
                <a:schemeClr val="dk1"/>
              </a:solidFill>
              <a:effectLst/>
              <a:latin typeface="+mn-lt"/>
              <a:ea typeface="+mn-ea"/>
              <a:cs typeface="+mn-cs"/>
            </a:rPr>
            <a:t>In the </a:t>
          </a:r>
          <a:r>
            <a:rPr lang="en-US" sz="1400" b="1">
              <a:solidFill>
                <a:schemeClr val="dk1"/>
              </a:solidFill>
              <a:effectLst/>
              <a:latin typeface="+mn-lt"/>
              <a:ea typeface="+mn-ea"/>
              <a:cs typeface="+mn-cs"/>
            </a:rPr>
            <a:t>Add-Ins available</a:t>
          </a:r>
          <a:r>
            <a:rPr lang="en-US" sz="1400">
              <a:solidFill>
                <a:schemeClr val="dk1"/>
              </a:solidFill>
              <a:effectLst/>
              <a:latin typeface="+mn-lt"/>
              <a:ea typeface="+mn-ea"/>
              <a:cs typeface="+mn-cs"/>
            </a:rPr>
            <a:t> box, select the </a:t>
          </a:r>
          <a:r>
            <a:rPr lang="en-US" sz="1400" b="1">
              <a:solidFill>
                <a:schemeClr val="dk1"/>
              </a:solidFill>
              <a:effectLst/>
              <a:latin typeface="+mn-lt"/>
              <a:ea typeface="+mn-ea"/>
              <a:cs typeface="+mn-cs"/>
            </a:rPr>
            <a:t>Solver Add-in</a:t>
          </a:r>
          <a:r>
            <a:rPr lang="en-US" sz="1400">
              <a:solidFill>
                <a:schemeClr val="dk1"/>
              </a:solidFill>
              <a:effectLst/>
              <a:latin typeface="+mn-lt"/>
              <a:ea typeface="+mn-ea"/>
              <a:cs typeface="+mn-cs"/>
            </a:rPr>
            <a:t> check box, and then click </a:t>
          </a:r>
          <a:r>
            <a:rPr lang="en-US" sz="1400" b="1">
              <a:solidFill>
                <a:schemeClr val="dk1"/>
              </a:solidFill>
              <a:effectLst/>
              <a:latin typeface="+mn-lt"/>
              <a:ea typeface="+mn-ea"/>
              <a:cs typeface="+mn-cs"/>
            </a:rPr>
            <a:t>OK</a:t>
          </a:r>
          <a:r>
            <a:rPr lang="en-US" sz="1400">
              <a:solidFill>
                <a:schemeClr val="dk1"/>
              </a:solidFill>
              <a:effectLst/>
              <a:latin typeface="+mn-lt"/>
              <a:ea typeface="+mn-ea"/>
              <a:cs typeface="+mn-cs"/>
            </a:rPr>
            <a:t>.</a:t>
          </a:r>
          <a:endParaRPr lang="en-US" sz="1400">
            <a:effectLst/>
          </a:endParaRPr>
        </a:p>
        <a:p>
          <a:r>
            <a:rPr lang="en-US" sz="1400" b="1">
              <a:solidFill>
                <a:schemeClr val="dk1"/>
              </a:solidFill>
              <a:effectLst/>
              <a:latin typeface="+mn-lt"/>
              <a:ea typeface="+mn-ea"/>
              <a:cs typeface="+mn-cs"/>
            </a:rPr>
            <a:t>	Tip:</a:t>
          </a:r>
          <a:r>
            <a:rPr lang="en-US" sz="1400">
              <a:solidFill>
                <a:schemeClr val="dk1"/>
              </a:solidFill>
              <a:effectLst/>
              <a:latin typeface="+mn-lt"/>
              <a:ea typeface="+mn-ea"/>
              <a:cs typeface="+mn-cs"/>
            </a:rPr>
            <a:t>    If the </a:t>
          </a:r>
          <a:r>
            <a:rPr lang="en-US" sz="1400" b="1">
              <a:solidFill>
                <a:schemeClr val="dk1"/>
              </a:solidFill>
              <a:effectLst/>
              <a:latin typeface="+mn-lt"/>
              <a:ea typeface="+mn-ea"/>
              <a:cs typeface="+mn-cs"/>
            </a:rPr>
            <a:t>Solver Add-in</a:t>
          </a:r>
          <a:r>
            <a:rPr lang="en-US" sz="1400">
              <a:solidFill>
                <a:schemeClr val="dk1"/>
              </a:solidFill>
              <a:effectLst/>
              <a:latin typeface="+mn-lt"/>
              <a:ea typeface="+mn-ea"/>
              <a:cs typeface="+mn-cs"/>
            </a:rPr>
            <a:t> is not listed in the </a:t>
          </a:r>
          <a:r>
            <a:rPr lang="en-US" sz="1400" b="1">
              <a:solidFill>
                <a:schemeClr val="dk1"/>
              </a:solidFill>
              <a:effectLst/>
              <a:latin typeface="+mn-lt"/>
              <a:ea typeface="+mn-ea"/>
              <a:cs typeface="+mn-cs"/>
            </a:rPr>
            <a:t>Add-Ins available</a:t>
          </a:r>
          <a:r>
            <a:rPr lang="en-US" sz="1400">
              <a:solidFill>
                <a:schemeClr val="dk1"/>
              </a:solidFill>
              <a:effectLst/>
              <a:latin typeface="+mn-lt"/>
              <a:ea typeface="+mn-ea"/>
              <a:cs typeface="+mn-cs"/>
            </a:rPr>
            <a:t> box, click </a:t>
          </a:r>
          <a:r>
            <a:rPr lang="en-US" sz="1400" b="1">
              <a:solidFill>
                <a:schemeClr val="dk1"/>
              </a:solidFill>
              <a:effectLst/>
              <a:latin typeface="+mn-lt"/>
              <a:ea typeface="+mn-ea"/>
              <a:cs typeface="+mn-cs"/>
            </a:rPr>
            <a:t>Browse</a:t>
          </a:r>
          <a:r>
            <a:rPr lang="en-US" sz="1400">
              <a:solidFill>
                <a:schemeClr val="dk1"/>
              </a:solidFill>
              <a:effectLst/>
              <a:latin typeface="+mn-lt"/>
              <a:ea typeface="+mn-ea"/>
              <a:cs typeface="+mn-cs"/>
            </a:rPr>
            <a:t> to locate the add-in.</a:t>
          </a:r>
          <a:r>
            <a:rPr lang="en-US" sz="1400" baseline="0">
              <a:solidFill>
                <a:schemeClr val="dk1"/>
              </a:solidFill>
              <a:effectLst/>
              <a:latin typeface="+mn-lt"/>
              <a:ea typeface="+mn-ea"/>
              <a:cs typeface="+mn-cs"/>
            </a:rPr>
            <a:t> </a:t>
          </a:r>
          <a:r>
            <a:rPr lang="en-US" sz="1400">
              <a:solidFill>
                <a:schemeClr val="dk1"/>
              </a:solidFill>
              <a:effectLst/>
              <a:latin typeface="+mn-lt"/>
              <a:ea typeface="+mn-ea"/>
              <a:cs typeface="+mn-cs"/>
            </a:rPr>
            <a:t>If you get 		prompted that the Solver Add-in is not currently installed on your computer, click </a:t>
          </a:r>
          <a:r>
            <a:rPr lang="en-US" sz="1400" b="1">
              <a:solidFill>
                <a:schemeClr val="dk1"/>
              </a:solidFill>
              <a:effectLst/>
              <a:latin typeface="+mn-lt"/>
              <a:ea typeface="+mn-ea"/>
              <a:cs typeface="+mn-cs"/>
            </a:rPr>
            <a:t>Yes</a:t>
          </a:r>
          <a:r>
            <a:rPr lang="en-US" sz="1400">
              <a:solidFill>
                <a:schemeClr val="dk1"/>
              </a:solidFill>
              <a:effectLst/>
              <a:latin typeface="+mn-lt"/>
              <a:ea typeface="+mn-ea"/>
              <a:cs typeface="+mn-cs"/>
            </a:rPr>
            <a:t> to install it.</a:t>
          </a:r>
        </a:p>
        <a:p>
          <a:endParaRPr lang="en-U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	For earlier versions of Excel, please consult with Microsoft Support Service.</a:t>
          </a:r>
          <a:endParaRPr lang="en-US" sz="1400">
            <a:effectLst/>
          </a:endParaRPr>
        </a:p>
        <a:p>
          <a:endParaRPr lang="en-US" sz="1400">
            <a:effectLst/>
          </a:endParaRPr>
        </a:p>
        <a:p>
          <a:r>
            <a:rPr lang="en-US" sz="1400"/>
            <a:t>	</a:t>
          </a:r>
          <a:endParaRPr lang="en-US" sz="160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60384</xdr:colOff>
      <xdr:row>3</xdr:row>
      <xdr:rowOff>138023</xdr:rowOff>
    </xdr:from>
    <xdr:to>
      <xdr:col>2</xdr:col>
      <xdr:colOff>319177</xdr:colOff>
      <xdr:row>7</xdr:row>
      <xdr:rowOff>155276</xdr:rowOff>
    </xdr:to>
    <xdr:sp macro="" textlink="">
      <xdr:nvSpPr>
        <xdr:cNvPr id="2" name="Down Arrow 1">
          <a:extLst>
            <a:ext uri="{FF2B5EF4-FFF2-40B4-BE49-F238E27FC236}">
              <a16:creationId xmlns:a16="http://schemas.microsoft.com/office/drawing/2014/main" id="{00000000-0008-0000-0100-000002000000}"/>
            </a:ext>
          </a:extLst>
        </xdr:cNvPr>
        <xdr:cNvSpPr/>
      </xdr:nvSpPr>
      <xdr:spPr>
        <a:xfrm>
          <a:off x="1302588" y="681487"/>
          <a:ext cx="258793" cy="74187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485775</xdr:colOff>
          <xdr:row>9</xdr:row>
          <xdr:rowOff>9525</xdr:rowOff>
        </xdr:from>
        <xdr:to>
          <xdr:col>3</xdr:col>
          <xdr:colOff>419100</xdr:colOff>
          <xdr:row>16</xdr:row>
          <xdr:rowOff>104775</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15</xdr:col>
      <xdr:colOff>233083</xdr:colOff>
      <xdr:row>13</xdr:row>
      <xdr:rowOff>44823</xdr:rowOff>
    </xdr:from>
    <xdr:to>
      <xdr:col>15</xdr:col>
      <xdr:colOff>582707</xdr:colOff>
      <xdr:row>14</xdr:row>
      <xdr:rowOff>143435</xdr:rowOff>
    </xdr:to>
    <xdr:sp macro="" textlink="">
      <xdr:nvSpPr>
        <xdr:cNvPr id="2" name="Oval 1">
          <a:extLst>
            <a:ext uri="{FF2B5EF4-FFF2-40B4-BE49-F238E27FC236}">
              <a16:creationId xmlns:a16="http://schemas.microsoft.com/office/drawing/2014/main" id="{00000000-0008-0000-0200-000002000000}"/>
            </a:ext>
          </a:extLst>
        </xdr:cNvPr>
        <xdr:cNvSpPr/>
      </xdr:nvSpPr>
      <xdr:spPr>
        <a:xfrm>
          <a:off x="6214783" y="2628003"/>
          <a:ext cx="349624" cy="319592"/>
        </a:xfrm>
        <a:prstGeom prst="ellipse">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224119</xdr:colOff>
      <xdr:row>31</xdr:row>
      <xdr:rowOff>17929</xdr:rowOff>
    </xdr:from>
    <xdr:to>
      <xdr:col>15</xdr:col>
      <xdr:colOff>573743</xdr:colOff>
      <xdr:row>32</xdr:row>
      <xdr:rowOff>152400</xdr:rowOff>
    </xdr:to>
    <xdr:sp macro="" textlink="">
      <xdr:nvSpPr>
        <xdr:cNvPr id="3" name="Oval 2">
          <a:extLst>
            <a:ext uri="{FF2B5EF4-FFF2-40B4-BE49-F238E27FC236}">
              <a16:creationId xmlns:a16="http://schemas.microsoft.com/office/drawing/2014/main" id="{00000000-0008-0000-0200-000003000000}"/>
            </a:ext>
          </a:extLst>
        </xdr:cNvPr>
        <xdr:cNvSpPr/>
      </xdr:nvSpPr>
      <xdr:spPr>
        <a:xfrm>
          <a:off x="6205819" y="5938669"/>
          <a:ext cx="349624" cy="324971"/>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475129</xdr:colOff>
      <xdr:row>14</xdr:row>
      <xdr:rowOff>0</xdr:rowOff>
    </xdr:from>
    <xdr:to>
      <xdr:col>16</xdr:col>
      <xdr:colOff>475129</xdr:colOff>
      <xdr:row>32</xdr:row>
      <xdr:rowOff>1</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a:off x="7173109" y="2804160"/>
          <a:ext cx="0" cy="3307081"/>
        </a:xfrm>
        <a:prstGeom prst="straightConnector1">
          <a:avLst/>
        </a:prstGeom>
        <a:ln>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197900</xdr:colOff>
      <xdr:row>32</xdr:row>
      <xdr:rowOff>6595</xdr:rowOff>
    </xdr:from>
    <xdr:to>
      <xdr:col>17</xdr:col>
      <xdr:colOff>135147</xdr:colOff>
      <xdr:row>32</xdr:row>
      <xdr:rowOff>6595</xdr:rowOff>
    </xdr:to>
    <xdr:cxnSp macro="">
      <xdr:nvCxnSpPr>
        <xdr:cNvPr id="5" name="Straight Connector 4">
          <a:extLst>
            <a:ext uri="{FF2B5EF4-FFF2-40B4-BE49-F238E27FC236}">
              <a16:creationId xmlns:a16="http://schemas.microsoft.com/office/drawing/2014/main" id="{00000000-0008-0000-0200-000005000000}"/>
            </a:ext>
          </a:extLst>
        </xdr:cNvPr>
        <xdr:cNvCxnSpPr/>
      </xdr:nvCxnSpPr>
      <xdr:spPr>
        <a:xfrm>
          <a:off x="6469812" y="6217614"/>
          <a:ext cx="55631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167455</xdr:colOff>
      <xdr:row>13</xdr:row>
      <xdr:rowOff>191644</xdr:rowOff>
    </xdr:from>
    <xdr:to>
      <xdr:col>17</xdr:col>
      <xdr:colOff>104702</xdr:colOff>
      <xdr:row>13</xdr:row>
      <xdr:rowOff>191644</xdr:rowOff>
    </xdr:to>
    <xdr:cxnSp macro="">
      <xdr:nvCxnSpPr>
        <xdr:cNvPr id="6" name="Straight Connector 5">
          <a:extLst>
            <a:ext uri="{FF2B5EF4-FFF2-40B4-BE49-F238E27FC236}">
              <a16:creationId xmlns:a16="http://schemas.microsoft.com/office/drawing/2014/main" id="{00000000-0008-0000-0200-000006000000}"/>
            </a:ext>
          </a:extLst>
        </xdr:cNvPr>
        <xdr:cNvCxnSpPr/>
      </xdr:nvCxnSpPr>
      <xdr:spPr>
        <a:xfrm>
          <a:off x="6439367" y="2840460"/>
          <a:ext cx="55631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23</xdr:col>
          <xdr:colOff>276225</xdr:colOff>
          <xdr:row>0</xdr:row>
          <xdr:rowOff>171450</xdr:rowOff>
        </xdr:from>
        <xdr:to>
          <xdr:col>25</xdr:col>
          <xdr:colOff>942975</xdr:colOff>
          <xdr:row>3</xdr:row>
          <xdr:rowOff>228600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Calculate Seepage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8</xdr:row>
          <xdr:rowOff>142875</xdr:rowOff>
        </xdr:from>
        <xdr:to>
          <xdr:col>3</xdr:col>
          <xdr:colOff>0</xdr:colOff>
          <xdr:row>10</xdr:row>
          <xdr:rowOff>161925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Clear Time-Series Data</a:t>
              </a:r>
            </a:p>
          </xdr:txBody>
        </xdr:sp>
        <xdr:clientData fPrintsWithSheet="0"/>
      </xdr:twoCellAnchor>
    </mc:Choice>
    <mc:Fallback/>
  </mc:AlternateContent>
  <xdr:twoCellAnchor>
    <xdr:from>
      <xdr:col>0</xdr:col>
      <xdr:colOff>41833</xdr:colOff>
      <xdr:row>0</xdr:row>
      <xdr:rowOff>35451</xdr:rowOff>
    </xdr:from>
    <xdr:to>
      <xdr:col>7</xdr:col>
      <xdr:colOff>0</xdr:colOff>
      <xdr:row>7</xdr:row>
      <xdr:rowOff>172528</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1833" y="35451"/>
          <a:ext cx="4961488" cy="1620821"/>
        </a:xfrm>
        <a:prstGeom prst="rect">
          <a:avLst/>
        </a:prstGeom>
        <a:solidFill>
          <a:schemeClr val="bg1">
            <a:lumMod val="95000"/>
          </a:schemeClr>
        </a:solidFill>
        <a:ln w="158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SITE NAME</a:t>
          </a:r>
          <a:r>
            <a:rPr lang="en-US" sz="1200"/>
            <a:t>: </a:t>
          </a:r>
        </a:p>
        <a:p>
          <a:r>
            <a:rPr lang="en-US" sz="1200" b="1"/>
            <a:t>LOCATION ID</a:t>
          </a:r>
          <a:r>
            <a:rPr lang="en-US" sz="1200"/>
            <a:t>: </a:t>
          </a:r>
        </a:p>
        <a:p>
          <a:r>
            <a:rPr lang="en-US" sz="1200" b="1"/>
            <a:t>DESCRIPTION</a:t>
          </a:r>
          <a:r>
            <a:rPr lang="en-US" sz="1200"/>
            <a:t>: </a:t>
          </a:r>
        </a:p>
        <a:p>
          <a:r>
            <a:rPr lang="en-US" sz="1200" b="1">
              <a:solidFill>
                <a:srgbClr val="FF0000"/>
              </a:solidFill>
            </a:rPr>
            <a:t>Hatch et. al, 2006</a:t>
          </a:r>
        </a:p>
        <a:p>
          <a:r>
            <a:rPr lang="en-US" sz="1200" b="1">
              <a:solidFill>
                <a:srgbClr val="FF0000"/>
              </a:solidFill>
            </a:rPr>
            <a:t>Non-redistribution. For beta testing only.</a:t>
          </a:r>
        </a:p>
        <a:p>
          <a:endParaRPr lang="en-US" sz="1200" b="1">
            <a:solidFill>
              <a:srgbClr val="FF0000"/>
            </a:solidFill>
          </a:endParaRPr>
        </a:p>
        <a:p>
          <a:r>
            <a:rPr lang="en-US" sz="1200" b="1">
              <a:solidFill>
                <a:srgbClr val="FF0000"/>
              </a:solidFill>
            </a:rPr>
            <a:t>NOTE:</a:t>
          </a:r>
          <a:r>
            <a:rPr lang="en-US" sz="1200" b="1" baseline="0">
              <a:solidFill>
                <a:srgbClr val="FF0000"/>
              </a:solidFill>
            </a:rPr>
            <a:t> </a:t>
          </a:r>
          <a:r>
            <a:rPr lang="en-US" sz="1200" b="1">
              <a:solidFill>
                <a:srgbClr val="FF0000"/>
              </a:solidFill>
            </a:rPr>
            <a:t>The temperature time-series requires 24-hour duration &amp; minimal of</a:t>
          </a:r>
          <a:r>
            <a:rPr lang="en-US" sz="1200" b="1" baseline="0">
              <a:solidFill>
                <a:srgbClr val="FF0000"/>
              </a:solidFill>
            </a:rPr>
            <a:t> 12 samples per 24-hour.</a:t>
          </a:r>
          <a:endParaRPr lang="en-US" sz="1200" b="1">
            <a:solidFill>
              <a:srgbClr val="FF0000"/>
            </a:solidFill>
          </a:endParaRPr>
        </a:p>
      </xdr:txBody>
    </xdr:sp>
    <xdr:clientData/>
  </xdr:twoCellAnchor>
  <xdr:twoCellAnchor>
    <xdr:from>
      <xdr:col>26</xdr:col>
      <xdr:colOff>621101</xdr:colOff>
      <xdr:row>1</xdr:row>
      <xdr:rowOff>0</xdr:rowOff>
    </xdr:from>
    <xdr:to>
      <xdr:col>36</xdr:col>
      <xdr:colOff>442582</xdr:colOff>
      <xdr:row>22</xdr:row>
      <xdr:rowOff>47206</xdr:rowOff>
    </xdr:to>
    <xdr:graphicFrame macro="">
      <xdr:nvGraphicFramePr>
        <xdr:cNvPr id="2089" name="Chart 2088">
          <a:extLst>
            <a:ext uri="{FF2B5EF4-FFF2-40B4-BE49-F238E27FC236}">
              <a16:creationId xmlns:a16="http://schemas.microsoft.com/office/drawing/2014/main" id="{00000000-0008-0000-0200-00002908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621101</xdr:colOff>
      <xdr:row>23</xdr:row>
      <xdr:rowOff>0</xdr:rowOff>
    </xdr:from>
    <xdr:to>
      <xdr:col>36</xdr:col>
      <xdr:colOff>442582</xdr:colOff>
      <xdr:row>45</xdr:row>
      <xdr:rowOff>133470</xdr:rowOff>
    </xdr:to>
    <xdr:graphicFrame macro="">
      <xdr:nvGraphicFramePr>
        <xdr:cNvPr id="2090" name="Chart 2089">
          <a:extLst>
            <a:ext uri="{FF2B5EF4-FFF2-40B4-BE49-F238E27FC236}">
              <a16:creationId xmlns:a16="http://schemas.microsoft.com/office/drawing/2014/main" id="{00000000-0008-0000-0200-00002A08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11</xdr:row>
      <xdr:rowOff>0</xdr:rowOff>
    </xdr:from>
    <xdr:to>
      <xdr:col>21</xdr:col>
      <xdr:colOff>254000</xdr:colOff>
      <xdr:row>16</xdr:row>
      <xdr:rowOff>176841</xdr:rowOff>
    </xdr:to>
    <xdr:sp macro="" textlink="">
      <xdr:nvSpPr>
        <xdr:cNvPr id="2091" name="UpArrow">
          <a:extLst>
            <a:ext uri="{FF2B5EF4-FFF2-40B4-BE49-F238E27FC236}">
              <a16:creationId xmlns:a16="http://schemas.microsoft.com/office/drawing/2014/main" id="{00000000-0008-0000-0200-00002B080000}"/>
            </a:ext>
          </a:extLst>
        </xdr:cNvPr>
        <xdr:cNvSpPr/>
      </xdr:nvSpPr>
      <xdr:spPr>
        <a:xfrm>
          <a:off x="11145328" y="2208362"/>
          <a:ext cx="254000" cy="1143000"/>
        </a:xfrm>
        <a:prstGeom prst="upArrow">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233083</xdr:colOff>
      <xdr:row>13</xdr:row>
      <xdr:rowOff>44823</xdr:rowOff>
    </xdr:from>
    <xdr:to>
      <xdr:col>15</xdr:col>
      <xdr:colOff>582707</xdr:colOff>
      <xdr:row>14</xdr:row>
      <xdr:rowOff>143435</xdr:rowOff>
    </xdr:to>
    <xdr:sp macro="" textlink="">
      <xdr:nvSpPr>
        <xdr:cNvPr id="2" name="Oval 1">
          <a:extLst>
            <a:ext uri="{FF2B5EF4-FFF2-40B4-BE49-F238E27FC236}">
              <a16:creationId xmlns:a16="http://schemas.microsoft.com/office/drawing/2014/main" id="{00000000-0008-0000-0300-000002000000}"/>
            </a:ext>
          </a:extLst>
        </xdr:cNvPr>
        <xdr:cNvSpPr/>
      </xdr:nvSpPr>
      <xdr:spPr>
        <a:xfrm>
          <a:off x="6306223" y="2628003"/>
          <a:ext cx="349624" cy="319592"/>
        </a:xfrm>
        <a:prstGeom prst="ellipse">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224119</xdr:colOff>
      <xdr:row>31</xdr:row>
      <xdr:rowOff>17929</xdr:rowOff>
    </xdr:from>
    <xdr:to>
      <xdr:col>15</xdr:col>
      <xdr:colOff>573743</xdr:colOff>
      <xdr:row>32</xdr:row>
      <xdr:rowOff>152400</xdr:rowOff>
    </xdr:to>
    <xdr:sp macro="" textlink="">
      <xdr:nvSpPr>
        <xdr:cNvPr id="3" name="Oval 2">
          <a:extLst>
            <a:ext uri="{FF2B5EF4-FFF2-40B4-BE49-F238E27FC236}">
              <a16:creationId xmlns:a16="http://schemas.microsoft.com/office/drawing/2014/main" id="{00000000-0008-0000-0300-000003000000}"/>
            </a:ext>
          </a:extLst>
        </xdr:cNvPr>
        <xdr:cNvSpPr/>
      </xdr:nvSpPr>
      <xdr:spPr>
        <a:xfrm>
          <a:off x="6297259" y="6030109"/>
          <a:ext cx="349624" cy="324971"/>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475129</xdr:colOff>
      <xdr:row>13</xdr:row>
      <xdr:rowOff>182678</xdr:rowOff>
    </xdr:from>
    <xdr:to>
      <xdr:col>16</xdr:col>
      <xdr:colOff>476990</xdr:colOff>
      <xdr:row>32</xdr:row>
      <xdr:rowOff>1</xdr:rowOff>
    </xdr:to>
    <xdr:cxnSp macro="">
      <xdr:nvCxnSpPr>
        <xdr:cNvPr id="4" name="Straight Arrow Connector 3">
          <a:extLst>
            <a:ext uri="{FF2B5EF4-FFF2-40B4-BE49-F238E27FC236}">
              <a16:creationId xmlns:a16="http://schemas.microsoft.com/office/drawing/2014/main" id="{00000000-0008-0000-0300-000004000000}"/>
            </a:ext>
          </a:extLst>
        </xdr:cNvPr>
        <xdr:cNvCxnSpPr/>
      </xdr:nvCxnSpPr>
      <xdr:spPr>
        <a:xfrm flipH="1">
          <a:off x="6878974" y="2831494"/>
          <a:ext cx="1861" cy="3450567"/>
        </a:xfrm>
        <a:prstGeom prst="straightConnector1">
          <a:avLst/>
        </a:prstGeom>
        <a:ln>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177602</xdr:colOff>
      <xdr:row>31</xdr:row>
      <xdr:rowOff>190626</xdr:rowOff>
    </xdr:from>
    <xdr:to>
      <xdr:col>17</xdr:col>
      <xdr:colOff>114849</xdr:colOff>
      <xdr:row>31</xdr:row>
      <xdr:rowOff>190626</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6581447" y="6279860"/>
          <a:ext cx="55631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167455</xdr:colOff>
      <xdr:row>13</xdr:row>
      <xdr:rowOff>181495</xdr:rowOff>
    </xdr:from>
    <xdr:to>
      <xdr:col>17</xdr:col>
      <xdr:colOff>104702</xdr:colOff>
      <xdr:row>13</xdr:row>
      <xdr:rowOff>181495</xdr:rowOff>
    </xdr:to>
    <xdr:cxnSp macro="">
      <xdr:nvCxnSpPr>
        <xdr:cNvPr id="6" name="Straight Connector 5">
          <a:extLst>
            <a:ext uri="{FF2B5EF4-FFF2-40B4-BE49-F238E27FC236}">
              <a16:creationId xmlns:a16="http://schemas.microsoft.com/office/drawing/2014/main" id="{00000000-0008-0000-0300-000006000000}"/>
            </a:ext>
          </a:extLst>
        </xdr:cNvPr>
        <xdr:cNvCxnSpPr/>
      </xdr:nvCxnSpPr>
      <xdr:spPr>
        <a:xfrm>
          <a:off x="6571300" y="2830311"/>
          <a:ext cx="55631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23</xdr:col>
          <xdr:colOff>314325</xdr:colOff>
          <xdr:row>0</xdr:row>
          <xdr:rowOff>171450</xdr:rowOff>
        </xdr:from>
        <xdr:to>
          <xdr:col>25</xdr:col>
          <xdr:colOff>971550</xdr:colOff>
          <xdr:row>3</xdr:row>
          <xdr:rowOff>228600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Calculate Seepage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8</xdr:row>
          <xdr:rowOff>161925</xdr:rowOff>
        </xdr:from>
        <xdr:to>
          <xdr:col>2</xdr:col>
          <xdr:colOff>895350</xdr:colOff>
          <xdr:row>10</xdr:row>
          <xdr:rowOff>161925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Clear Time-Series Data</a:t>
              </a:r>
            </a:p>
          </xdr:txBody>
        </xdr:sp>
        <xdr:clientData fPrintsWithSheet="0"/>
      </xdr:twoCellAnchor>
    </mc:Choice>
    <mc:Fallback/>
  </mc:AlternateContent>
  <xdr:twoCellAnchor>
    <xdr:from>
      <xdr:col>0</xdr:col>
      <xdr:colOff>58455</xdr:colOff>
      <xdr:row>0</xdr:row>
      <xdr:rowOff>48213</xdr:rowOff>
    </xdr:from>
    <xdr:to>
      <xdr:col>12</xdr:col>
      <xdr:colOff>23003</xdr:colOff>
      <xdr:row>7</xdr:row>
      <xdr:rowOff>195531</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58455" y="48213"/>
          <a:ext cx="4875853" cy="1631062"/>
        </a:xfrm>
        <a:prstGeom prst="rect">
          <a:avLst/>
        </a:prstGeom>
        <a:solidFill>
          <a:schemeClr val="bg1">
            <a:lumMod val="95000"/>
          </a:schemeClr>
        </a:solidFill>
        <a:ln w="158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solidFill>
              <a:effectLst/>
              <a:latin typeface="+mn-lt"/>
              <a:ea typeface="+mn-ea"/>
              <a:cs typeface="+mn-cs"/>
            </a:rPr>
            <a:t>SITE NAME</a:t>
          </a:r>
          <a:r>
            <a:rPr lang="en-US" sz="1200">
              <a:solidFill>
                <a:schemeClr val="dk1"/>
              </a:solidFill>
              <a:effectLst/>
              <a:latin typeface="+mn-lt"/>
              <a:ea typeface="+mn-ea"/>
              <a:cs typeface="+mn-cs"/>
            </a:rPr>
            <a:t>: </a:t>
          </a:r>
          <a:endParaRPr lang="en-US" sz="1200">
            <a:effectLst/>
          </a:endParaRPr>
        </a:p>
        <a:p>
          <a:r>
            <a:rPr lang="en-US" sz="1200" b="1">
              <a:solidFill>
                <a:schemeClr val="dk1"/>
              </a:solidFill>
              <a:effectLst/>
              <a:latin typeface="+mn-lt"/>
              <a:ea typeface="+mn-ea"/>
              <a:cs typeface="+mn-cs"/>
            </a:rPr>
            <a:t>LOCATION ID</a:t>
          </a:r>
          <a:r>
            <a:rPr lang="en-US" sz="1200">
              <a:solidFill>
                <a:schemeClr val="dk1"/>
              </a:solidFill>
              <a:effectLst/>
              <a:latin typeface="+mn-lt"/>
              <a:ea typeface="+mn-ea"/>
              <a:cs typeface="+mn-cs"/>
            </a:rPr>
            <a:t>: </a:t>
          </a:r>
          <a:endParaRPr lang="en-US" sz="1200">
            <a:effectLst/>
          </a:endParaRPr>
        </a:p>
        <a:p>
          <a:r>
            <a:rPr lang="en-US" sz="1200" b="1">
              <a:solidFill>
                <a:schemeClr val="dk1"/>
              </a:solidFill>
              <a:effectLst/>
              <a:latin typeface="+mn-lt"/>
              <a:ea typeface="+mn-ea"/>
              <a:cs typeface="+mn-cs"/>
            </a:rPr>
            <a:t>DESCRIPTION</a:t>
          </a:r>
          <a:r>
            <a:rPr lang="en-US" sz="1200">
              <a:solidFill>
                <a:schemeClr val="dk1"/>
              </a:solidFill>
              <a:effectLst/>
              <a:latin typeface="+mn-lt"/>
              <a:ea typeface="+mn-ea"/>
              <a:cs typeface="+mn-cs"/>
            </a:rPr>
            <a:t>:</a:t>
          </a:r>
        </a:p>
        <a:p>
          <a:r>
            <a:rPr lang="en-US" sz="1200" b="1">
              <a:solidFill>
                <a:srgbClr val="FF0000"/>
              </a:solidFill>
              <a:effectLst/>
            </a:rPr>
            <a:t>McCallum et. al, 2012</a:t>
          </a:r>
        </a:p>
        <a:p>
          <a:r>
            <a:rPr lang="en-US" sz="1200" b="1">
              <a:solidFill>
                <a:srgbClr val="FF0000"/>
              </a:solidFill>
            </a:rPr>
            <a:t>Non-redistribution. For beta testing only.</a:t>
          </a:r>
        </a:p>
        <a:p>
          <a:endParaRPr lang="en-US" sz="1200" b="1">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rgbClr val="FF0000"/>
              </a:solidFill>
              <a:effectLst/>
              <a:latin typeface="+mn-lt"/>
              <a:ea typeface="+mn-ea"/>
              <a:cs typeface="+mn-cs"/>
            </a:rPr>
            <a:t>NOTE:</a:t>
          </a:r>
          <a:r>
            <a:rPr lang="en-US" sz="1200" b="1" baseline="0">
              <a:solidFill>
                <a:srgbClr val="FF0000"/>
              </a:solidFill>
              <a:effectLst/>
              <a:latin typeface="+mn-lt"/>
              <a:ea typeface="+mn-ea"/>
              <a:cs typeface="+mn-cs"/>
            </a:rPr>
            <a:t> </a:t>
          </a:r>
          <a:r>
            <a:rPr lang="en-US" sz="1200" b="1">
              <a:solidFill>
                <a:srgbClr val="FF0000"/>
              </a:solidFill>
              <a:effectLst/>
              <a:latin typeface="+mn-lt"/>
              <a:ea typeface="+mn-ea"/>
              <a:cs typeface="+mn-cs"/>
            </a:rPr>
            <a:t>The temperature time-series requires 24-hour duration &amp; minimal of</a:t>
          </a:r>
          <a:r>
            <a:rPr lang="en-US" sz="1200" b="1" baseline="0">
              <a:solidFill>
                <a:srgbClr val="FF0000"/>
              </a:solidFill>
              <a:effectLst/>
              <a:latin typeface="+mn-lt"/>
              <a:ea typeface="+mn-ea"/>
              <a:cs typeface="+mn-cs"/>
            </a:rPr>
            <a:t> 12 samples per 24-hour.</a:t>
          </a:r>
          <a:endParaRPr lang="en-US" sz="1200">
            <a:solidFill>
              <a:srgbClr val="FF0000"/>
            </a:solidFill>
            <a:effectLst/>
          </a:endParaRPr>
        </a:p>
        <a:p>
          <a:endParaRPr lang="en-US" sz="1400" b="1">
            <a:solidFill>
              <a:srgbClr val="FF0000"/>
            </a:solidFill>
          </a:endParaRPr>
        </a:p>
      </xdr:txBody>
    </xdr:sp>
    <xdr:clientData/>
  </xdr:twoCellAnchor>
  <xdr:twoCellAnchor>
    <xdr:from>
      <xdr:col>26</xdr:col>
      <xdr:colOff>621101</xdr:colOff>
      <xdr:row>1</xdr:row>
      <xdr:rowOff>0</xdr:rowOff>
    </xdr:from>
    <xdr:to>
      <xdr:col>36</xdr:col>
      <xdr:colOff>408076</xdr:colOff>
      <xdr:row>22</xdr:row>
      <xdr:rowOff>12700</xdr:rowOff>
    </xdr:to>
    <xdr:graphicFrame macro="">
      <xdr:nvGraphicFramePr>
        <xdr:cNvPr id="1024" name="Chart 1023">
          <a:extLst>
            <a:ext uri="{FF2B5EF4-FFF2-40B4-BE49-F238E27FC236}">
              <a16:creationId xmlns:a16="http://schemas.microsoft.com/office/drawing/2014/main" id="{00000000-0008-0000-0300-0000000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621101</xdr:colOff>
      <xdr:row>23</xdr:row>
      <xdr:rowOff>0</xdr:rowOff>
    </xdr:from>
    <xdr:to>
      <xdr:col>36</xdr:col>
      <xdr:colOff>408076</xdr:colOff>
      <xdr:row>45</xdr:row>
      <xdr:rowOff>81712</xdr:rowOff>
    </xdr:to>
    <xdr:graphicFrame macro="">
      <xdr:nvGraphicFramePr>
        <xdr:cNvPr id="1026" name="Chart 1025">
          <a:extLst>
            <a:ext uri="{FF2B5EF4-FFF2-40B4-BE49-F238E27FC236}">
              <a16:creationId xmlns:a16="http://schemas.microsoft.com/office/drawing/2014/main" id="{00000000-0008-0000-0300-0000020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11</xdr:row>
      <xdr:rowOff>0</xdr:rowOff>
    </xdr:from>
    <xdr:to>
      <xdr:col>21</xdr:col>
      <xdr:colOff>254000</xdr:colOff>
      <xdr:row>16</xdr:row>
      <xdr:rowOff>176842</xdr:rowOff>
    </xdr:to>
    <xdr:sp macro="" textlink="">
      <xdr:nvSpPr>
        <xdr:cNvPr id="1027" name="UpArrow">
          <a:extLst>
            <a:ext uri="{FF2B5EF4-FFF2-40B4-BE49-F238E27FC236}">
              <a16:creationId xmlns:a16="http://schemas.microsoft.com/office/drawing/2014/main" id="{00000000-0008-0000-0300-000003040000}"/>
            </a:ext>
          </a:extLst>
        </xdr:cNvPr>
        <xdr:cNvSpPr/>
      </xdr:nvSpPr>
      <xdr:spPr>
        <a:xfrm>
          <a:off x="11162581" y="2242868"/>
          <a:ext cx="254000" cy="1143000"/>
        </a:xfrm>
        <a:prstGeom prst="upArrow">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xdr:col>
      <xdr:colOff>9526</xdr:colOff>
      <xdr:row>0</xdr:row>
      <xdr:rowOff>9524</xdr:rowOff>
    </xdr:from>
    <xdr:ext cx="3657599" cy="13144501"/>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918620" y="9524"/>
          <a:ext cx="3657599" cy="1314450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t>Solution of the analytical equations</a:t>
          </a:r>
          <a:r>
            <a:rPr lang="en-US" sz="1100" b="0" baseline="0"/>
            <a:t> for transient conditions depends on input of values for the </a:t>
          </a:r>
          <a:r>
            <a:rPr lang="en-US" sz="1100" b="0" baseline="0">
              <a:solidFill>
                <a:schemeClr val="tx1"/>
              </a:solidFill>
              <a:effectLst/>
              <a:latin typeface="+mn-lt"/>
              <a:ea typeface="+mn-ea"/>
              <a:cs typeface="+mn-cs"/>
            </a:rPr>
            <a:t>volumetric heat capacity of </a:t>
          </a:r>
          <a:r>
            <a:rPr lang="en-US" sz="1100" b="0" baseline="0"/>
            <a:t>water and sediment solids, the </a:t>
          </a:r>
          <a:r>
            <a:rPr lang="en-US" sz="1100" b="0" baseline="0">
              <a:solidFill>
                <a:schemeClr val="tx1"/>
              </a:solidFill>
              <a:effectLst/>
              <a:latin typeface="+mn-lt"/>
              <a:ea typeface="+mn-ea"/>
              <a:cs typeface="+mn-cs"/>
            </a:rPr>
            <a:t>thermal conductivity of sediment, sediment porosity, and thermal dispersivity</a:t>
          </a:r>
          <a:r>
            <a:rPr lang="en-US" sz="1100" b="0" baseline="0"/>
            <a:t>.  </a:t>
          </a:r>
        </a:p>
        <a:p>
          <a:endParaRPr lang="en-US"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The value of the volumetric heat capacity of the sediment solids will vary based on the types and relative amounts of minerals and organic matter.  The range of reported values for various minerals and a natural organic matter component is provided in the table at left.  These values bracket the default value of 2.00 x 10</a:t>
          </a:r>
          <a:r>
            <a:rPr lang="en-US" sz="1100" baseline="30000">
              <a:solidFill>
                <a:schemeClr val="tx1"/>
              </a:solidFill>
              <a:effectLst/>
              <a:latin typeface="+mn-lt"/>
              <a:ea typeface="+mn-ea"/>
              <a:cs typeface="+mn-cs"/>
            </a:rPr>
            <a:t>6</a:t>
          </a:r>
          <a:r>
            <a:rPr lang="en-US" sz="1100" baseline="0">
              <a:solidFill>
                <a:schemeClr val="tx1"/>
              </a:solidFill>
              <a:effectLst/>
              <a:latin typeface="+mn-lt"/>
              <a:ea typeface="+mn-ea"/>
              <a:cs typeface="+mn-cs"/>
            </a:rPr>
            <a:t> J/m</a:t>
          </a:r>
          <a:r>
            <a:rPr lang="en-US" sz="1100" baseline="30000">
              <a:solidFill>
                <a:schemeClr val="tx1"/>
              </a:solidFill>
              <a:effectLst/>
              <a:latin typeface="+mn-lt"/>
              <a:ea typeface="+mn-ea"/>
              <a:cs typeface="+mn-cs"/>
            </a:rPr>
            <a:t>3</a:t>
          </a:r>
          <a:r>
            <a:rPr lang="en-US" sz="1100" baseline="0">
              <a:solidFill>
                <a:schemeClr val="tx1"/>
              </a:solidFill>
              <a:effectLst/>
              <a:latin typeface="+mn-lt"/>
              <a:ea typeface="+mn-ea"/>
              <a:cs typeface="+mn-cs"/>
            </a:rPr>
            <a:t>-°C provided in the calculation worksheets.</a:t>
          </a:r>
          <a:endParaRPr lang="en-US" sz="1100">
            <a:effectLst/>
          </a:endParaRPr>
        </a:p>
        <a:p>
          <a:endParaRPr lang="en-US" sz="1100" b="0" baseline="0"/>
        </a:p>
        <a:p>
          <a:r>
            <a:rPr lang="en-US" sz="1100" b="0" baseline="0"/>
            <a:t>The value of the volumetric heat capacity of water will vary between 4.19x10</a:t>
          </a:r>
          <a:r>
            <a:rPr lang="en-US" sz="1100" b="0" baseline="30000"/>
            <a:t>6</a:t>
          </a:r>
          <a:r>
            <a:rPr lang="en-US" sz="1100" b="0" baseline="0"/>
            <a:t> and </a:t>
          </a:r>
          <a:r>
            <a:rPr lang="en-US" sz="1100" b="0" baseline="0">
              <a:solidFill>
                <a:schemeClr val="tx1"/>
              </a:solidFill>
              <a:effectLst/>
              <a:latin typeface="+mn-lt"/>
              <a:ea typeface="+mn-ea"/>
              <a:cs typeface="+mn-cs"/>
            </a:rPr>
            <a:t>4.12x10</a:t>
          </a:r>
          <a:r>
            <a:rPr lang="en-US" sz="1100" b="0" baseline="30000">
              <a:solidFill>
                <a:schemeClr val="tx1"/>
              </a:solidFill>
              <a:effectLst/>
              <a:latin typeface="+mn-lt"/>
              <a:ea typeface="+mn-ea"/>
              <a:cs typeface="+mn-cs"/>
            </a:rPr>
            <a:t>6</a:t>
          </a:r>
          <a:r>
            <a:rPr lang="en-US" sz="1100" b="0" baseline="0">
              <a:solidFill>
                <a:schemeClr val="tx1"/>
              </a:solidFill>
              <a:effectLst/>
              <a:latin typeface="+mn-lt"/>
              <a:ea typeface="+mn-ea"/>
              <a:cs typeface="+mn-cs"/>
            </a:rPr>
            <a:t> J/m</a:t>
          </a:r>
          <a:r>
            <a:rPr lang="en-US" sz="1100" b="0" baseline="30000">
              <a:solidFill>
                <a:schemeClr val="tx1"/>
              </a:solidFill>
              <a:effectLst/>
              <a:latin typeface="+mn-lt"/>
              <a:ea typeface="+mn-ea"/>
              <a:cs typeface="+mn-cs"/>
            </a:rPr>
            <a:t>3</a:t>
          </a:r>
          <a:r>
            <a:rPr lang="en-US" sz="1100" baseline="0">
              <a:solidFill>
                <a:schemeClr val="tx1"/>
              </a:solidFill>
              <a:effectLst/>
              <a:latin typeface="+mn-lt"/>
              <a:ea typeface="+mn-ea"/>
              <a:cs typeface="+mn-cs"/>
            </a:rPr>
            <a:t>-°C</a:t>
          </a:r>
          <a:r>
            <a:rPr lang="en-US" sz="1100" b="0" baseline="0">
              <a:solidFill>
                <a:schemeClr val="tx1"/>
              </a:solidFill>
              <a:effectLst/>
              <a:latin typeface="+mn-lt"/>
              <a:ea typeface="+mn-ea"/>
              <a:cs typeface="+mn-cs"/>
            </a:rPr>
            <a:t> </a:t>
          </a:r>
          <a:r>
            <a:rPr lang="en-US" sz="1100" b="0" baseline="0"/>
            <a:t>as a function of salinity from freshwater (salinity 0 ppt) to seawater (salinity 35 ppt) </a:t>
          </a:r>
          <a:r>
            <a:rPr lang="en-US" sz="1100" b="0" baseline="0">
              <a:solidFill>
                <a:schemeClr val="tx1"/>
              </a:solidFill>
              <a:effectLst/>
              <a:latin typeface="+mn-lt"/>
              <a:ea typeface="+mn-ea"/>
              <a:cs typeface="+mn-cs"/>
            </a:rPr>
            <a:t>at 20</a:t>
          </a:r>
          <a:r>
            <a:rPr lang="en-US" sz="1100" baseline="0">
              <a:solidFill>
                <a:schemeClr val="tx1"/>
              </a:solidFill>
              <a:effectLst/>
              <a:latin typeface="+mn-lt"/>
              <a:ea typeface="+mn-ea"/>
              <a:cs typeface="+mn-cs"/>
            </a:rPr>
            <a:t>°C. </a:t>
          </a:r>
          <a:r>
            <a:rPr lang="en-US" sz="1100" b="0" baseline="0">
              <a:solidFill>
                <a:schemeClr val="tx1"/>
              </a:solidFill>
              <a:effectLst/>
              <a:latin typeface="+mn-lt"/>
              <a:ea typeface="+mn-ea"/>
              <a:cs typeface="+mn-cs"/>
            </a:rPr>
            <a:t> Sharqawy et al. (2010) provide a review of mathematical relationships that can be used to calculate values at other temperatures and salinity.  </a:t>
          </a:r>
        </a:p>
        <a:p>
          <a:endParaRPr lang="en-US" sz="1100" b="0" baseline="0">
            <a:solidFill>
              <a:schemeClr val="tx1"/>
            </a:solidFill>
            <a:effectLst/>
            <a:latin typeface="+mn-lt"/>
            <a:ea typeface="+mn-ea"/>
            <a:cs typeface="+mn-cs"/>
          </a:endParaRPr>
        </a:p>
        <a:p>
          <a:r>
            <a:rPr lang="en-US" sz="1100" baseline="0"/>
            <a:t>A description of the factors that influence sediment thermal conductivity has been summarized in Stonestrom and Constanz (2003).  The grain size of sediment materials and the organic matter content are two important factors that influence the value of this parameter.  Stonestrom and Constanz (2003) provided a review of measured or estimated values for a variety of porous materials and a commonly recommended default value for sediments is 1.84 J/m-s-°C.  This value is representative of a sandy sediment with little or no organic matter.  However, Duque et al (2016) have shown that use of this default value can lead to overestimation of calculated seepage flux by a factor of 30%, which can be significant in locations with seepage flux on the order of a few cm/day.  Characteristics of the sediment material will be influenced by the local surficial geology, sediment depositional environment, and the presence of vegetation or other sources of organic matter.  </a:t>
          </a:r>
          <a:r>
            <a:rPr lang="en-US" sz="1100" baseline="0">
              <a:solidFill>
                <a:schemeClr val="tx1"/>
              </a:solidFill>
              <a:effectLst/>
              <a:latin typeface="+mn-lt"/>
              <a:ea typeface="+mn-ea"/>
              <a:cs typeface="+mn-cs"/>
            </a:rPr>
            <a:t>In order to provide an updated point of reference for selection of sediment thermal conductivity for a range of depositional systems for inland and coastal environments, a</a:t>
          </a:r>
          <a:r>
            <a:rPr lang="en-US" sz="1100" baseline="0"/>
            <a:t> review was conducted of studies where sediment thermal conductivity was measured directly or specifically optimized during model calibration.  These results are summarized in the table at left</a:t>
          </a:r>
          <a:r>
            <a:rPr lang="en-US" sz="1100" baseline="0">
              <a:solidFill>
                <a:schemeClr val="tx1"/>
              </a:solidFill>
              <a:effectLst/>
              <a:latin typeface="+mn-lt"/>
              <a:ea typeface="+mn-ea"/>
              <a:cs typeface="+mn-cs"/>
            </a:rPr>
            <a:t>.  The sediment origin, type and texture descriptors listed in the table can be used to select a value that seems appropriate for the investigated water body.  Alternatively, measurements of thermal conductivity on sampled sediment cores can provide a more direct assessment of the value(s) to use for modeling.</a:t>
          </a:r>
        </a:p>
        <a:p>
          <a:endParaRPr lang="en-US" sz="1100" baseline="0">
            <a:solidFill>
              <a:schemeClr val="tx1"/>
            </a:solidFill>
            <a:effectLst/>
            <a:latin typeface="+mn-lt"/>
            <a:ea typeface="+mn-ea"/>
            <a:cs typeface="+mn-cs"/>
          </a:endParaRPr>
        </a:p>
        <a:p>
          <a:r>
            <a:rPr lang="en-US" sz="1100" baseline="0">
              <a:solidFill>
                <a:schemeClr val="tx1"/>
              </a:solidFill>
              <a:effectLst/>
              <a:latin typeface="+mn-lt"/>
              <a:ea typeface="+mn-ea"/>
              <a:cs typeface="+mn-cs"/>
            </a:rPr>
            <a:t>The porosity of sediments will depend on the depositional environment and depth.  In general, porosity will be greatest near the sediment-water interface and decrease with depth.  The table at left provides ranges of measured porosity for a variety of surface water body types.  In general, the top 10-cm of the sediment may have a porosity as high as 0.8-0.9.  If porosity is not directly measured for the modeled sediment system, then it is recommended that the sensitivity of the model output to this parameter be examined and reported.</a:t>
          </a:r>
        </a:p>
        <a:p>
          <a:endParaRPr lang="en-US" sz="1100" baseline="0">
            <a:solidFill>
              <a:schemeClr val="tx1"/>
            </a:solidFill>
            <a:effectLst/>
            <a:latin typeface="+mn-lt"/>
            <a:ea typeface="+mn-ea"/>
            <a:cs typeface="+mn-cs"/>
          </a:endParaRPr>
        </a:p>
        <a:p>
          <a:r>
            <a:rPr lang="en-US" sz="1100" baseline="0">
              <a:solidFill>
                <a:schemeClr val="tx1"/>
              </a:solidFill>
              <a:effectLst/>
              <a:latin typeface="+mn-lt"/>
              <a:ea typeface="+mn-ea"/>
              <a:cs typeface="+mn-cs"/>
            </a:rPr>
            <a:t>The value for thermal dispersivity is commonly assumed, since it is not a parameter that can be measured directly.  A typical default value is 0.001 m, which assumes minor impact on heat transport.  However, Bhaskar et al (2012) have shown that contributions from hyporheic flow in riverine systems can cause thermal dispersitivity to be an important component of heat transport in shallow sediments, increasing the value by orders-of-magnitude.  If the sediment thermal conductivity is known, then the McCallum model, as implemented within this Workbook, can be used to derive a better estimate of the thermal dispersivity value.</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60385</xdr:colOff>
      <xdr:row>0</xdr:row>
      <xdr:rowOff>60386</xdr:rowOff>
    </xdr:from>
    <xdr:to>
      <xdr:col>13</xdr:col>
      <xdr:colOff>163901</xdr:colOff>
      <xdr:row>26</xdr:row>
      <xdr:rowOff>17252</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60385" y="60386"/>
          <a:ext cx="8177841" cy="466688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Bob Lien</a:t>
          </a:r>
        </a:p>
        <a:p>
          <a:r>
            <a:rPr lang="en-US" sz="1400">
              <a:solidFill>
                <a:schemeClr val="dk1"/>
              </a:solidFill>
              <a:effectLst/>
              <a:latin typeface="+mn-lt"/>
              <a:ea typeface="+mn-ea"/>
              <a:cs typeface="+mn-cs"/>
            </a:rPr>
            <a:t>U.S. Environmental Protection Agency</a:t>
          </a:r>
        </a:p>
        <a:p>
          <a:r>
            <a:rPr lang="en-US" sz="1400">
              <a:solidFill>
                <a:schemeClr val="dk1"/>
              </a:solidFill>
              <a:effectLst/>
              <a:latin typeface="+mn-lt"/>
              <a:ea typeface="+mn-ea"/>
              <a:cs typeface="+mn-cs"/>
            </a:rPr>
            <a:t>Andrew W. Breidenbach Environmental Research Center</a:t>
          </a:r>
        </a:p>
        <a:p>
          <a:r>
            <a:rPr lang="en-US" sz="1400">
              <a:solidFill>
                <a:schemeClr val="dk1"/>
              </a:solidFill>
              <a:effectLst/>
              <a:latin typeface="+mn-lt"/>
              <a:ea typeface="+mn-ea"/>
              <a:cs typeface="+mn-cs"/>
            </a:rPr>
            <a:t>26 West Martin Luther King Drive</a:t>
          </a:r>
        </a:p>
        <a:p>
          <a:r>
            <a:rPr lang="en-US" sz="1400">
              <a:solidFill>
                <a:schemeClr val="dk1"/>
              </a:solidFill>
              <a:effectLst/>
              <a:latin typeface="+mn-lt"/>
              <a:ea typeface="+mn-ea"/>
              <a:cs typeface="+mn-cs"/>
            </a:rPr>
            <a:t>Cincinnati, Ohio 45268</a:t>
          </a:r>
        </a:p>
        <a:p>
          <a:r>
            <a:rPr lang="en-US" sz="1400">
              <a:solidFill>
                <a:schemeClr val="dk1"/>
              </a:solidFill>
              <a:effectLst/>
              <a:latin typeface="+mn-lt"/>
              <a:ea typeface="+mn-ea"/>
              <a:cs typeface="+mn-cs"/>
            </a:rPr>
            <a:t>513-569-7443 voice</a:t>
          </a:r>
        </a:p>
        <a:p>
          <a:r>
            <a:rPr lang="en-US" sz="1400"/>
            <a:t>lien.bob@epa.gov</a:t>
          </a:r>
        </a:p>
        <a:p>
          <a:endParaRPr lang="en-US" sz="1400"/>
        </a:p>
        <a:p>
          <a:r>
            <a:rPr lang="en-US" sz="1400"/>
            <a:t>OR</a:t>
          </a:r>
        </a:p>
        <a:p>
          <a:endParaRPr lang="en-US" sz="1400"/>
        </a:p>
        <a:p>
          <a:r>
            <a:rPr lang="en-US" sz="1400">
              <a:solidFill>
                <a:schemeClr val="dk1"/>
              </a:solidFill>
              <a:effectLst/>
              <a:latin typeface="+mn-lt"/>
              <a:ea typeface="+mn-ea"/>
              <a:cs typeface="+mn-cs"/>
            </a:rPr>
            <a:t>Robert Ford</a:t>
          </a:r>
          <a:endParaRPr lang="en-US" sz="1400">
            <a:effectLst/>
          </a:endParaRPr>
        </a:p>
        <a:p>
          <a:r>
            <a:rPr lang="en-US" sz="1400">
              <a:solidFill>
                <a:schemeClr val="dk1"/>
              </a:solidFill>
              <a:effectLst/>
              <a:latin typeface="+mn-lt"/>
              <a:ea typeface="+mn-ea"/>
              <a:cs typeface="+mn-cs"/>
            </a:rPr>
            <a:t>U.S. Environmental Protection Agency</a:t>
          </a:r>
          <a:endParaRPr lang="en-US" sz="1400">
            <a:effectLst/>
          </a:endParaRPr>
        </a:p>
        <a:p>
          <a:r>
            <a:rPr lang="en-US" sz="1400">
              <a:solidFill>
                <a:schemeClr val="dk1"/>
              </a:solidFill>
              <a:effectLst/>
              <a:latin typeface="+mn-lt"/>
              <a:ea typeface="+mn-ea"/>
              <a:cs typeface="+mn-cs"/>
            </a:rPr>
            <a:t>Andrew W. Breidenbach Environmental Research Center</a:t>
          </a:r>
          <a:endParaRPr lang="en-US" sz="1400">
            <a:effectLst/>
          </a:endParaRPr>
        </a:p>
        <a:p>
          <a:r>
            <a:rPr lang="en-US" sz="1400">
              <a:solidFill>
                <a:schemeClr val="dk1"/>
              </a:solidFill>
              <a:effectLst/>
              <a:latin typeface="+mn-lt"/>
              <a:ea typeface="+mn-ea"/>
              <a:cs typeface="+mn-cs"/>
            </a:rPr>
            <a:t>26 West Martin Luther King Drive</a:t>
          </a:r>
          <a:endParaRPr lang="en-US" sz="1400">
            <a:effectLst/>
          </a:endParaRPr>
        </a:p>
        <a:p>
          <a:r>
            <a:rPr lang="en-US" sz="1400">
              <a:solidFill>
                <a:schemeClr val="dk1"/>
              </a:solidFill>
              <a:effectLst/>
              <a:latin typeface="+mn-lt"/>
              <a:ea typeface="+mn-ea"/>
              <a:cs typeface="+mn-cs"/>
            </a:rPr>
            <a:t>Cincinnati, Ohio 45268</a:t>
          </a:r>
          <a:endParaRPr lang="en-US" sz="1400">
            <a:effectLst/>
          </a:endParaRPr>
        </a:p>
        <a:p>
          <a:r>
            <a:rPr lang="en-US" sz="1400">
              <a:solidFill>
                <a:schemeClr val="dk1"/>
              </a:solidFill>
              <a:effectLst/>
              <a:latin typeface="+mn-lt"/>
              <a:ea typeface="+mn-ea"/>
              <a:cs typeface="+mn-cs"/>
            </a:rPr>
            <a:t>513-569-7501 voice</a:t>
          </a:r>
          <a:endParaRPr lang="en-US" sz="1400">
            <a:effectLst/>
          </a:endParaRPr>
        </a:p>
        <a:p>
          <a:r>
            <a:rPr lang="en-US" sz="1400">
              <a:solidFill>
                <a:schemeClr val="dk1"/>
              </a:solidFill>
              <a:effectLst/>
              <a:latin typeface="+mn-lt"/>
              <a:ea typeface="+mn-ea"/>
              <a:cs typeface="+mn-cs"/>
            </a:rPr>
            <a:t>ford.robert@epa.gov</a:t>
          </a:r>
          <a:endParaRPr lang="en-US" sz="1400">
            <a:effectLst/>
          </a:endParaRP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
  <sheetViews>
    <sheetView showGridLines="0" workbookViewId="0">
      <selection activeCell="N9" sqref="N9"/>
    </sheetView>
  </sheetViews>
  <sheetFormatPr defaultColWidth="11.5703125" defaultRowHeight="12.75" x14ac:dyDescent="0.2"/>
  <cols>
    <col min="1" max="16384" width="11.5703125" style="48"/>
  </cols>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3"/>
  <sheetViews>
    <sheetView showGridLines="0" showRowColHeaders="0" workbookViewId="0">
      <selection activeCell="E25" sqref="E25"/>
    </sheetView>
  </sheetViews>
  <sheetFormatPr defaultRowHeight="15" x14ac:dyDescent="0.25"/>
  <sheetData>
    <row r="3" spans="2:2" x14ac:dyDescent="0.25">
      <c r="B3" t="s">
        <v>47</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Document" dvAspect="DVASPECT_ICON" shapeId="3073" r:id="rId4">
          <objectPr defaultSize="0" autoPict="0" r:id="rId5">
            <anchor moveWithCells="1">
              <from>
                <xdr:col>0</xdr:col>
                <xdr:colOff>485775</xdr:colOff>
                <xdr:row>9</xdr:row>
                <xdr:rowOff>9525</xdr:rowOff>
              </from>
              <to>
                <xdr:col>3</xdr:col>
                <xdr:colOff>419100</xdr:colOff>
                <xdr:row>16</xdr:row>
                <xdr:rowOff>104775</xdr:rowOff>
              </to>
            </anchor>
          </objectPr>
        </oleObject>
      </mc:Choice>
      <mc:Fallback>
        <oleObject progId="Document" dvAspect="DVASPECT_ICON" shapeId="3073"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7" tint="0.39997558519241921"/>
  </sheetPr>
  <dimension ref="A1:AG63"/>
  <sheetViews>
    <sheetView topLeftCell="L1" zoomScaleNormal="100" workbookViewId="0">
      <selection activeCell="S37" sqref="S37"/>
    </sheetView>
  </sheetViews>
  <sheetFormatPr defaultRowHeight="15" x14ac:dyDescent="0.25"/>
  <cols>
    <col min="1" max="1" width="2.28515625" bestFit="1" customWidth="1"/>
    <col min="2" max="2" width="15.28515625" style="63" bestFit="1" customWidth="1"/>
    <col min="3" max="3" width="10.42578125" style="63" bestFit="1" customWidth="1"/>
    <col min="4" max="4" width="15.28515625" style="53" bestFit="1" customWidth="1"/>
    <col min="5" max="5" width="3.5703125" style="53" bestFit="1" customWidth="1"/>
    <col min="6" max="6" width="14.85546875" style="63" bestFit="1" customWidth="1"/>
    <col min="7" max="7" width="9.140625" style="63" bestFit="1" customWidth="1"/>
    <col min="8" max="8" width="14.85546875" bestFit="1" customWidth="1"/>
    <col min="9" max="9" width="7.85546875" bestFit="1" customWidth="1"/>
    <col min="10" max="10" width="12.85546875" bestFit="1" customWidth="1"/>
    <col min="11" max="11" width="12.5703125" bestFit="1" customWidth="1"/>
    <col min="12" max="12" width="10.140625" bestFit="1" customWidth="1"/>
    <col min="13" max="13" width="2.28515625" bestFit="1" customWidth="1"/>
    <col min="14" max="14" width="6.28515625" bestFit="1" customWidth="1"/>
    <col min="15" max="15" width="10.5703125" bestFit="1" customWidth="1"/>
    <col min="16" max="16" width="6.28515625" bestFit="1" customWidth="1"/>
    <col min="17" max="17" width="2.28515625" bestFit="1" customWidth="1"/>
    <col min="18" max="18" width="4.140625" bestFit="1" customWidth="1"/>
    <col min="19" max="19" width="12.7109375" customWidth="1"/>
    <col min="20" max="20" width="6.5703125" bestFit="1" customWidth="1"/>
    <col min="21" max="22" width="2.28515625" bestFit="1" customWidth="1"/>
    <col min="23" max="23" width="4" bestFit="1" customWidth="1"/>
    <col min="24" max="24" width="68" bestFit="1" customWidth="1"/>
    <col min="25" max="25" width="5.7109375" bestFit="1" customWidth="1"/>
    <col min="26" max="27" width="2.28515625" bestFit="1" customWidth="1"/>
  </cols>
  <sheetData>
    <row r="1" spans="1:33" ht="15.75" thickBot="1" x14ac:dyDescent="0.3">
      <c r="A1" t="str">
        <f t="array" ref="A1:A46">""</f>
        <v/>
      </c>
      <c r="B1" s="63" t="str">
        <f t="array" ref="B1:Z1">""</f>
        <v/>
      </c>
      <c r="C1" s="63" t="str">
        <v/>
      </c>
      <c r="D1" s="53" t="str">
        <v/>
      </c>
      <c r="E1" s="53" t="str">
        <v/>
      </c>
      <c r="F1" s="63" t="str">
        <v/>
      </c>
      <c r="G1" s="65" t="str">
        <v/>
      </c>
      <c r="H1" t="str">
        <v/>
      </c>
      <c r="I1" t="str">
        <v/>
      </c>
      <c r="J1" t="str">
        <v/>
      </c>
      <c r="K1" t="str">
        <v/>
      </c>
      <c r="L1" t="str">
        <v/>
      </c>
      <c r="M1" t="str">
        <v/>
      </c>
      <c r="N1" s="2" t="str">
        <v/>
      </c>
      <c r="O1" s="2" t="str">
        <v/>
      </c>
      <c r="P1" s="2" t="str">
        <v/>
      </c>
      <c r="Q1" s="2" t="str">
        <v/>
      </c>
      <c r="R1" s="2" t="str">
        <v/>
      </c>
      <c r="S1" s="2" t="str">
        <v/>
      </c>
      <c r="T1" s="2" t="str">
        <v/>
      </c>
      <c r="U1" s="2" t="str">
        <v/>
      </c>
      <c r="V1" s="2" t="str">
        <v/>
      </c>
      <c r="W1" s="2" t="str">
        <v/>
      </c>
      <c r="X1" s="2" t="str">
        <v/>
      </c>
      <c r="Y1" s="2" t="str">
        <v/>
      </c>
      <c r="Z1" s="2" t="str">
        <v/>
      </c>
      <c r="AA1" t="str">
        <f t="array" ref="AA1:AA47">""</f>
        <v/>
      </c>
    </row>
    <row r="2" spans="1:33" ht="16.5" thickTop="1" thickBot="1" x14ac:dyDescent="0.3">
      <c r="A2" t="str">
        <v/>
      </c>
      <c r="G2" s="65"/>
      <c r="N2" s="50" t="s">
        <v>37</v>
      </c>
      <c r="O2" s="80">
        <v>0.6</v>
      </c>
      <c r="P2" s="5"/>
      <c r="Q2" s="2"/>
      <c r="R2" s="50" t="s">
        <v>22</v>
      </c>
      <c r="S2" s="80">
        <v>0.84</v>
      </c>
      <c r="T2" s="50" t="s">
        <v>20</v>
      </c>
      <c r="U2" s="2"/>
      <c r="V2" s="2"/>
      <c r="W2" s="2"/>
      <c r="X2" s="2"/>
      <c r="Y2" s="2"/>
      <c r="Z2" s="2"/>
      <c r="AA2" t="str">
        <v/>
      </c>
      <c r="AC2" s="73"/>
      <c r="AD2" s="64"/>
      <c r="AE2" s="73"/>
      <c r="AF2" s="73"/>
      <c r="AG2" s="65"/>
    </row>
    <row r="3" spans="1:33" ht="16.5" thickTop="1" thickBot="1" x14ac:dyDescent="0.3">
      <c r="A3" t="str">
        <v/>
      </c>
      <c r="G3" s="65"/>
      <c r="N3" s="2"/>
      <c r="O3" s="2"/>
      <c r="P3" s="2"/>
      <c r="Q3" s="2"/>
      <c r="R3" s="2"/>
      <c r="S3" s="2"/>
      <c r="T3" s="2"/>
      <c r="U3" s="2"/>
      <c r="V3" s="2"/>
      <c r="W3" s="2"/>
      <c r="X3" s="2"/>
      <c r="Y3" s="2"/>
      <c r="Z3" s="2"/>
      <c r="AA3" t="str">
        <v/>
      </c>
      <c r="AB3" s="73"/>
      <c r="AC3" s="74"/>
      <c r="AD3" s="61"/>
      <c r="AE3" s="61"/>
      <c r="AF3" s="61"/>
      <c r="AG3" s="61"/>
    </row>
    <row r="4" spans="1:33" ht="19.5" thickTop="1" thickBot="1" x14ac:dyDescent="0.35">
      <c r="A4" t="str">
        <v/>
      </c>
      <c r="B4" s="64"/>
      <c r="C4" s="65"/>
      <c r="F4" s="65"/>
      <c r="G4" s="65"/>
      <c r="N4" s="50" t="s">
        <v>33</v>
      </c>
      <c r="O4" s="81">
        <v>4190000</v>
      </c>
      <c r="P4" s="50" t="s">
        <v>31</v>
      </c>
      <c r="Q4" s="2"/>
      <c r="R4" s="50" t="s">
        <v>35</v>
      </c>
      <c r="S4" s="81">
        <v>1E-3</v>
      </c>
      <c r="T4" s="50" t="s">
        <v>15</v>
      </c>
      <c r="U4" s="2"/>
      <c r="V4" s="2"/>
      <c r="W4" s="2"/>
      <c r="X4" s="2"/>
      <c r="Y4" s="2"/>
      <c r="Z4" s="2"/>
      <c r="AA4" t="str">
        <v/>
      </c>
    </row>
    <row r="5" spans="1:33" ht="16.5" thickTop="1" thickBot="1" x14ac:dyDescent="0.3">
      <c r="A5" t="str">
        <v/>
      </c>
      <c r="B5" s="64"/>
      <c r="C5" s="65"/>
      <c r="F5" s="65"/>
      <c r="G5" s="65"/>
      <c r="N5" s="2"/>
      <c r="O5" s="2"/>
      <c r="P5" s="2"/>
      <c r="Q5" s="2"/>
      <c r="R5" s="2"/>
      <c r="S5" s="2"/>
      <c r="T5" s="2"/>
      <c r="U5" s="2"/>
      <c r="V5" s="2"/>
      <c r="W5" s="2"/>
      <c r="X5" s="2"/>
      <c r="Y5" s="2"/>
      <c r="Z5" s="2"/>
      <c r="AA5" t="str">
        <v/>
      </c>
    </row>
    <row r="6" spans="1:33" ht="19.5" thickTop="1" thickBot="1" x14ac:dyDescent="0.35">
      <c r="A6" t="str">
        <v/>
      </c>
      <c r="B6" s="64"/>
      <c r="C6" s="65"/>
      <c r="F6" s="65"/>
      <c r="G6" s="65"/>
      <c r="N6" s="50" t="s">
        <v>34</v>
      </c>
      <c r="O6" s="81">
        <v>2000000</v>
      </c>
      <c r="P6" s="50" t="s">
        <v>31</v>
      </c>
      <c r="Q6" s="2"/>
      <c r="R6" s="2"/>
      <c r="S6" s="2"/>
      <c r="T6" s="2"/>
      <c r="U6" s="2"/>
      <c r="V6" s="2"/>
      <c r="W6" s="2"/>
      <c r="X6" s="2"/>
      <c r="Y6" s="2"/>
      <c r="Z6" s="2"/>
      <c r="AA6" t="str">
        <v/>
      </c>
    </row>
    <row r="7" spans="1:33" ht="15.75" thickTop="1" x14ac:dyDescent="0.25">
      <c r="A7" t="str">
        <v/>
      </c>
      <c r="B7" s="64"/>
      <c r="C7" s="65"/>
      <c r="F7" s="65"/>
      <c r="G7" s="65"/>
      <c r="N7" s="2"/>
      <c r="O7" s="2"/>
      <c r="P7" s="2"/>
      <c r="Q7" s="2"/>
      <c r="R7" s="2"/>
      <c r="S7" s="2"/>
      <c r="T7" s="98"/>
      <c r="U7" s="37"/>
      <c r="V7" s="2"/>
      <c r="W7" s="2"/>
      <c r="X7" s="2"/>
      <c r="Y7" s="2"/>
      <c r="Z7" s="2"/>
      <c r="AA7" t="str">
        <v/>
      </c>
    </row>
    <row r="8" spans="1:33" x14ac:dyDescent="0.25">
      <c r="A8" t="str">
        <v/>
      </c>
      <c r="B8" s="64"/>
      <c r="C8" s="65"/>
      <c r="F8" s="65"/>
      <c r="G8" s="65"/>
      <c r="K8" s="53"/>
      <c r="N8" s="2"/>
      <c r="O8" s="2"/>
      <c r="P8" s="2"/>
      <c r="Q8" s="2"/>
      <c r="R8" s="2"/>
      <c r="S8" s="2"/>
      <c r="T8" s="98"/>
      <c r="U8" s="2"/>
      <c r="V8" s="2"/>
      <c r="W8" s="2"/>
      <c r="X8" s="2"/>
      <c r="Y8" s="2"/>
      <c r="Z8" s="2"/>
      <c r="AA8" t="str">
        <v/>
      </c>
    </row>
    <row r="9" spans="1:33" x14ac:dyDescent="0.25">
      <c r="A9" t="str">
        <v/>
      </c>
      <c r="B9" s="64"/>
      <c r="C9" s="65"/>
      <c r="F9" s="65"/>
      <c r="G9" s="65"/>
      <c r="N9" s="2"/>
      <c r="O9" s="2"/>
      <c r="P9" s="2"/>
      <c r="Q9" s="2"/>
      <c r="R9" s="2"/>
      <c r="S9" s="2"/>
      <c r="T9" s="2"/>
      <c r="U9" s="2"/>
      <c r="V9" s="2"/>
      <c r="W9" s="2"/>
      <c r="X9" s="2"/>
      <c r="Y9" s="2"/>
      <c r="Z9" s="2"/>
      <c r="AA9" t="str">
        <v/>
      </c>
    </row>
    <row r="10" spans="1:33" x14ac:dyDescent="0.25">
      <c r="A10" t="str">
        <v/>
      </c>
      <c r="B10" s="70"/>
      <c r="C10" s="71"/>
      <c r="D10" s="87"/>
      <c r="E10" s="87"/>
      <c r="F10" s="72"/>
      <c r="G10" s="71"/>
      <c r="N10" s="6"/>
      <c r="O10" s="38"/>
      <c r="P10" s="4"/>
      <c r="Q10" s="2"/>
      <c r="R10" s="2"/>
      <c r="S10" s="2"/>
      <c r="T10" s="2"/>
      <c r="U10" s="145" t="str">
        <f>IF(X12&gt;0,"Upward Flow","")</f>
        <v>Upward Flow</v>
      </c>
      <c r="V10" s="146"/>
      <c r="W10" s="2"/>
      <c r="X10" s="2"/>
      <c r="Y10" s="2"/>
      <c r="Z10" s="2"/>
      <c r="AA10" t="str">
        <v/>
      </c>
    </row>
    <row r="11" spans="1:33" ht="15.75" thickBot="1" x14ac:dyDescent="0.3">
      <c r="A11" t="str">
        <v/>
      </c>
      <c r="B11" s="88"/>
      <c r="C11" s="65"/>
      <c r="F11" s="78">
        <v>1</v>
      </c>
      <c r="G11" s="65"/>
      <c r="N11" s="2"/>
      <c r="O11" s="2"/>
      <c r="P11" s="2"/>
      <c r="Q11" s="2"/>
      <c r="R11" s="2"/>
      <c r="S11" s="2"/>
      <c r="T11" s="2"/>
      <c r="U11" s="2"/>
      <c r="V11" s="2"/>
      <c r="W11" s="39"/>
      <c r="X11" s="2"/>
      <c r="Y11" s="2"/>
      <c r="Z11" s="2"/>
      <c r="AA11" t="str">
        <v/>
      </c>
    </row>
    <row r="12" spans="1:33" ht="16.5" thickTop="1" thickBot="1" x14ac:dyDescent="0.3">
      <c r="A12" t="str">
        <v/>
      </c>
      <c r="B12" s="149" t="s">
        <v>0</v>
      </c>
      <c r="C12" s="150"/>
      <c r="D12" s="149" t="s">
        <v>17</v>
      </c>
      <c r="E12" s="151"/>
      <c r="F12" s="8" t="s">
        <v>1</v>
      </c>
      <c r="G12" s="8" t="s">
        <v>2</v>
      </c>
      <c r="H12" s="8" t="s">
        <v>1</v>
      </c>
      <c r="I12" s="8" t="s">
        <v>2</v>
      </c>
      <c r="N12" s="2"/>
      <c r="O12" s="2"/>
      <c r="P12" s="2"/>
      <c r="Q12" s="2"/>
      <c r="R12" s="2"/>
      <c r="S12" s="2"/>
      <c r="T12" s="2"/>
      <c r="U12" s="2"/>
      <c r="V12" s="2"/>
      <c r="W12" s="11" t="s">
        <v>3</v>
      </c>
      <c r="X12" s="132">
        <v>10.316801219345331</v>
      </c>
      <c r="Y12" s="50" t="s">
        <v>50</v>
      </c>
      <c r="Z12" s="2"/>
      <c r="AA12" t="str">
        <v/>
      </c>
    </row>
    <row r="13" spans="1:33" ht="15.75" thickBot="1" x14ac:dyDescent="0.3">
      <c r="A13" t="str">
        <v/>
      </c>
      <c r="B13" s="68" t="s">
        <v>4</v>
      </c>
      <c r="C13" s="66" t="s">
        <v>5</v>
      </c>
      <c r="D13" s="69" t="s">
        <v>4</v>
      </c>
      <c r="E13" s="67" t="s">
        <v>18</v>
      </c>
      <c r="F13" s="77">
        <f>RSQ(F15:F$39,C15:C$39)</f>
        <v>0.98124270557058879</v>
      </c>
      <c r="G13" s="89">
        <f>SUM(G15:G$39)</f>
        <v>9.7529597531379811E-2</v>
      </c>
      <c r="H13" s="9">
        <f>RSQ(H15:H$39,E15:E$39)</f>
        <v>0.96873898882226606</v>
      </c>
      <c r="I13" s="10">
        <f>SUM(I15:I$39)</f>
        <v>7.1155063286772024E-3</v>
      </c>
      <c r="N13" s="13" t="s">
        <v>12</v>
      </c>
      <c r="O13" s="2"/>
      <c r="P13" s="13" t="s">
        <v>5</v>
      </c>
      <c r="Q13" s="2"/>
      <c r="R13" s="2"/>
      <c r="S13" s="2"/>
      <c r="T13" s="2"/>
      <c r="U13" s="2"/>
      <c r="V13" s="2"/>
      <c r="W13" s="11"/>
      <c r="X13" s="86"/>
      <c r="Y13" s="50"/>
      <c r="Z13" s="2"/>
      <c r="AA13" t="str">
        <v/>
      </c>
    </row>
    <row r="14" spans="1:33" ht="18" thickBot="1" x14ac:dyDescent="0.3">
      <c r="A14" t="str">
        <v/>
      </c>
      <c r="B14" s="68" t="s">
        <v>6</v>
      </c>
      <c r="C14" s="66" t="s">
        <v>48</v>
      </c>
      <c r="D14" s="69" t="s">
        <v>6</v>
      </c>
      <c r="E14" s="67" t="s">
        <v>48</v>
      </c>
      <c r="F14" s="14" t="s">
        <v>7</v>
      </c>
      <c r="G14" s="14" t="s">
        <v>8</v>
      </c>
      <c r="H14" s="29" t="s">
        <v>7</v>
      </c>
      <c r="I14" s="29" t="s">
        <v>8</v>
      </c>
      <c r="J14" s="15" t="s">
        <v>9</v>
      </c>
      <c r="K14" s="15" t="s">
        <v>10</v>
      </c>
      <c r="L14" s="16" t="s">
        <v>11</v>
      </c>
      <c r="M14" s="9"/>
      <c r="N14" s="51" t="s">
        <v>13</v>
      </c>
      <c r="O14" s="20"/>
      <c r="P14" s="20"/>
      <c r="Q14" s="20"/>
      <c r="R14" s="20"/>
      <c r="S14" s="20"/>
      <c r="T14" s="20"/>
      <c r="U14" s="20"/>
      <c r="V14" s="20"/>
      <c r="W14" s="20"/>
      <c r="X14" s="20"/>
      <c r="Y14" s="20"/>
      <c r="Z14" s="20"/>
      <c r="AA14" t="str">
        <v/>
      </c>
    </row>
    <row r="15" spans="1:33" x14ac:dyDescent="0.25">
      <c r="A15" t="str">
        <v/>
      </c>
      <c r="B15" s="95">
        <v>41832</v>
      </c>
      <c r="C15" s="126">
        <v>24.507769894549799</v>
      </c>
      <c r="D15" s="95">
        <v>41832</v>
      </c>
      <c r="E15" s="127">
        <v>21.07</v>
      </c>
      <c r="F15" s="90">
        <f>$L$15+$J$15*COS(2*PI()*(B15-$F$11))+$K$15*SIN(2*PI()*(B15-$F$11))+$J$16*COS(2*2*PI()*(B15-$F$11))+$K$16*SIN(2*2*PI()*(B15-$F$11))+$J$17*COS(3*2*PI()*(B15-$F$11))+$K$17*SIN(3*2*PI()*(B15-$F$11))+$J$18*COS(4*2*PI()*(B15-$F$11))+$K$18*SIN(4*2*PI()*(B15-$F$11))</f>
        <v>24.309348299400856</v>
      </c>
      <c r="G15" s="90">
        <f>(C15-F15)^2</f>
        <v>3.9371129421451122E-2</v>
      </c>
      <c r="H15" s="18">
        <f>$L$20+$J$20*COS(2*PI()*(D15-$F$11))+$K$20*SIN(2*PI()*(D15-$F$11))+$J$21*COS(2*2*PI()*(D15-$F$11))+$K$21*SIN(2*2*PI()*(D15-$F$11))+$J$22*COS(3*2*PI()*(D15-$F$11))+$K$22*SIN(3*2*PI()*(D15-$F$11))+$J$23*COS(4*2*PI()*(D15-$F$11))+$K$23*SIN(4*2*PI()*(D15-$F$11))</f>
        <v>21.054301660623878</v>
      </c>
      <c r="I15" s="18">
        <f>(E15-H15)^2</f>
        <v>2.4643785916791207E-4</v>
      </c>
      <c r="J15" s="19">
        <v>-6.033807399374945E-2</v>
      </c>
      <c r="K15" s="19">
        <v>-0.58709734378473555</v>
      </c>
      <c r="L15" s="19">
        <v>24.263381655237701</v>
      </c>
      <c r="M15" s="9"/>
      <c r="N15" s="20"/>
      <c r="O15" s="20"/>
      <c r="P15" s="20"/>
      <c r="Q15" s="20"/>
      <c r="R15" s="20"/>
      <c r="S15" s="20"/>
      <c r="T15" s="20"/>
      <c r="U15" s="20"/>
      <c r="V15" s="20"/>
      <c r="W15" s="20"/>
      <c r="X15" s="20"/>
      <c r="Y15" s="20"/>
      <c r="Z15" s="20"/>
      <c r="AA15" t="str">
        <v/>
      </c>
    </row>
    <row r="16" spans="1:33" x14ac:dyDescent="0.25">
      <c r="A16" t="str">
        <v/>
      </c>
      <c r="B16" s="95">
        <v>41832.041666666664</v>
      </c>
      <c r="C16" s="126">
        <v>24.382754172609602</v>
      </c>
      <c r="D16" s="95">
        <v>41832.041666666664</v>
      </c>
      <c r="E16" s="127">
        <v>21.07</v>
      </c>
      <c r="F16" s="90">
        <f t="shared" ref="F16:F39" si="0">$L$15+$J$15*COS(2*PI()*(B16-$F$11))+$K$15*SIN(2*PI()*(B16-$F$11))+$J$16*COS(2*2*PI()*(B16-$F$11))+$K$16*SIN(2*2*PI()*(B16-$F$11))+$J$17*COS(3*2*PI()*(B16-$F$11))+$K$17*SIN(3*2*PI()*(B16-$F$11))+$J$18*COS(4*2*PI()*(B16-$F$11))+$K$18*SIN(4*2*PI()*(B16-$F$11))</f>
        <v>24.302561213772126</v>
      </c>
      <c r="G16" s="90">
        <f t="shared" ref="G16:G39" si="1">(C16-F16)^2</f>
        <v>6.4309106471090336E-3</v>
      </c>
      <c r="H16" s="18">
        <f t="shared" ref="H16:H39" si="2">$L$20+$J$20*COS(2*PI()*(D16-$F$11))+$K$20*SIN(2*PI()*(D16-$F$11))+$J$21*COS(2*2*PI()*(D16-$F$11))+$K$21*SIN(2*2*PI()*(D16-$F$11))+$J$22*COS(3*2*PI()*(D16-$F$11))+$K$22*SIN(3*2*PI()*(D16-$F$11))+$J$23*COS(4*2*PI()*(D16-$F$11))+$K$23*SIN(4*2*PI()*(D16-$F$11))</f>
        <v>21.05955912128065</v>
      </c>
      <c r="I16" s="18">
        <f t="shared" ref="I16:I39" si="3">(E16-H16)^2</f>
        <v>1.0901194843218868E-4</v>
      </c>
      <c r="J16" s="19">
        <v>0.13440544187757736</v>
      </c>
      <c r="K16" s="19">
        <v>0.23259107016519748</v>
      </c>
      <c r="L16" s="19"/>
      <c r="M16" s="9"/>
      <c r="N16" s="20"/>
      <c r="O16" s="20"/>
      <c r="P16" s="20"/>
      <c r="Q16" s="20"/>
      <c r="R16" s="20"/>
      <c r="S16" s="20"/>
      <c r="T16" s="20"/>
      <c r="U16" s="20"/>
      <c r="V16" s="20"/>
      <c r="W16" s="20"/>
      <c r="X16" s="20"/>
      <c r="Y16" s="20"/>
      <c r="Z16" s="20"/>
      <c r="AA16" t="str">
        <v/>
      </c>
    </row>
    <row r="17" spans="1:27" x14ac:dyDescent="0.25">
      <c r="A17" t="str">
        <v/>
      </c>
      <c r="B17" s="95">
        <v>41832.083333333336</v>
      </c>
      <c r="C17" s="126">
        <v>24.195225982537298</v>
      </c>
      <c r="D17" s="95">
        <v>41832.083333333336</v>
      </c>
      <c r="E17" s="127">
        <v>21.07</v>
      </c>
      <c r="F17" s="90">
        <f t="shared" si="0"/>
        <v>24.233454972704571</v>
      </c>
      <c r="G17" s="90">
        <f t="shared" si="1"/>
        <v>1.4614556892094382E-3</v>
      </c>
      <c r="H17" s="18">
        <f t="shared" si="2"/>
        <v>21.064339346284896</v>
      </c>
      <c r="I17" s="18">
        <f t="shared" si="3"/>
        <v>3.2043000482321253E-5</v>
      </c>
      <c r="J17" s="19">
        <v>-4.2032862439177997E-2</v>
      </c>
      <c r="K17" s="19">
        <v>5.0307208563298789E-2</v>
      </c>
      <c r="L17" s="19"/>
      <c r="M17" s="9"/>
      <c r="N17" s="20"/>
      <c r="O17" s="101"/>
      <c r="P17" s="102"/>
      <c r="Q17" s="20"/>
      <c r="R17" s="20"/>
      <c r="S17" s="20"/>
      <c r="T17" s="20"/>
      <c r="U17" s="20"/>
      <c r="V17" s="20"/>
      <c r="W17" s="20"/>
      <c r="X17" s="20"/>
      <c r="Y17" s="20"/>
      <c r="Z17" s="20"/>
      <c r="AA17" t="str">
        <v/>
      </c>
    </row>
    <row r="18" spans="1:27" x14ac:dyDescent="0.25">
      <c r="A18" t="str">
        <v/>
      </c>
      <c r="B18" s="95">
        <v>41832.125</v>
      </c>
      <c r="C18" s="126">
        <v>24.0702041177145</v>
      </c>
      <c r="D18" s="95">
        <v>41832.125</v>
      </c>
      <c r="E18" s="127">
        <v>21.07</v>
      </c>
      <c r="F18" s="90">
        <f t="shared" si="0"/>
        <v>24.089528902783371</v>
      </c>
      <c r="G18" s="90">
        <f t="shared" si="1"/>
        <v>3.7344731795807361E-4</v>
      </c>
      <c r="H18" s="18">
        <f t="shared" si="2"/>
        <v>21.057442731866306</v>
      </c>
      <c r="I18" s="18">
        <f t="shared" si="3"/>
        <v>1.5768498298148845E-4</v>
      </c>
      <c r="J18" s="19">
        <v>1.3932138714287178E-2</v>
      </c>
      <c r="K18" s="19">
        <v>4.5064020329756366E-3</v>
      </c>
      <c r="L18" s="19"/>
      <c r="M18" s="9"/>
      <c r="N18" s="20"/>
      <c r="O18" s="20"/>
      <c r="P18" s="20"/>
      <c r="Q18" s="20"/>
      <c r="R18" s="20"/>
      <c r="S18" s="20"/>
      <c r="T18" s="20"/>
      <c r="U18" s="20"/>
      <c r="V18" s="20"/>
      <c r="W18" s="20"/>
      <c r="X18" s="20"/>
      <c r="Y18" s="20"/>
      <c r="Z18" s="20"/>
      <c r="AA18" t="str">
        <v/>
      </c>
    </row>
    <row r="19" spans="1:27" x14ac:dyDescent="0.25">
      <c r="A19" t="str">
        <v/>
      </c>
      <c r="B19" s="95">
        <v>41832.166666666664</v>
      </c>
      <c r="C19" s="126">
        <v>23.882666713318301</v>
      </c>
      <c r="D19" s="95">
        <v>41832.166666666664</v>
      </c>
      <c r="E19" s="127">
        <v>21.01</v>
      </c>
      <c r="F19" s="90">
        <f t="shared" si="0"/>
        <v>23.890162592992475</v>
      </c>
      <c r="G19" s="90">
        <f t="shared" si="1"/>
        <v>5.6188212089694573E-5</v>
      </c>
      <c r="H19" s="18">
        <f t="shared" si="2"/>
        <v>21.033925372874965</v>
      </c>
      <c r="I19" s="18">
        <f t="shared" si="3"/>
        <v>5.7242346720602015E-4</v>
      </c>
      <c r="J19" s="30" t="s">
        <v>9</v>
      </c>
      <c r="K19" s="30" t="s">
        <v>10</v>
      </c>
      <c r="L19" s="31" t="s">
        <v>11</v>
      </c>
      <c r="M19" s="9"/>
      <c r="N19" s="20"/>
      <c r="O19" s="20"/>
      <c r="P19" s="20"/>
      <c r="Q19" s="20"/>
      <c r="R19" s="20"/>
      <c r="S19" s="20"/>
      <c r="T19" s="20"/>
      <c r="U19" s="147" t="str">
        <f>IF(X12&lt;0,"Downward Flow","")</f>
        <v/>
      </c>
      <c r="V19" s="148"/>
      <c r="W19" s="20"/>
      <c r="X19" s="20"/>
      <c r="Y19" s="20"/>
      <c r="Z19" s="20"/>
      <c r="AA19" t="str">
        <v/>
      </c>
    </row>
    <row r="20" spans="1:27" x14ac:dyDescent="0.25">
      <c r="A20" t="str">
        <v/>
      </c>
      <c r="B20" s="95">
        <v>41832.208333333336</v>
      </c>
      <c r="C20" s="126">
        <v>23.695123780327702</v>
      </c>
      <c r="D20" s="95">
        <v>41832.208333333336</v>
      </c>
      <c r="E20" s="127">
        <v>21.01</v>
      </c>
      <c r="F20" s="90">
        <f t="shared" si="0"/>
        <v>23.677782098103357</v>
      </c>
      <c r="G20" s="90">
        <f t="shared" si="1"/>
        <v>3.0073394237015031E-4</v>
      </c>
      <c r="H20" s="18">
        <f t="shared" si="2"/>
        <v>20.997645351159239</v>
      </c>
      <c r="I20" s="18">
        <f t="shared" si="3"/>
        <v>1.526373479785579E-4</v>
      </c>
      <c r="J20" s="19">
        <v>0.12892435344782979</v>
      </c>
      <c r="K20" s="19">
        <v>-2.0529150761822542E-2</v>
      </c>
      <c r="L20" s="19">
        <v>20.960654097351334</v>
      </c>
      <c r="M20" s="9"/>
      <c r="N20" s="20"/>
      <c r="O20" s="20"/>
      <c r="P20" s="20"/>
      <c r="Q20" s="20"/>
      <c r="R20" s="20"/>
      <c r="S20" s="20"/>
      <c r="T20" s="20"/>
      <c r="U20" s="20"/>
      <c r="V20" s="20"/>
      <c r="W20" s="20"/>
      <c r="X20" s="20"/>
      <c r="Y20" s="20"/>
      <c r="Z20" s="20"/>
      <c r="AA20" t="str">
        <v/>
      </c>
    </row>
    <row r="21" spans="1:27" x14ac:dyDescent="0.25">
      <c r="A21" t="str">
        <v/>
      </c>
      <c r="B21" s="95">
        <v>41832.25</v>
      </c>
      <c r="C21" s="126">
        <v>23.507575318742798</v>
      </c>
      <c r="D21" s="95">
        <v>41832.25</v>
      </c>
      <c r="E21" s="127">
        <v>20.94</v>
      </c>
      <c r="F21" s="90">
        <f t="shared" si="0"/>
        <v>23.505503799743177</v>
      </c>
      <c r="G21" s="90">
        <f t="shared" si="1"/>
        <v>4.2911909657907534E-6</v>
      </c>
      <c r="H21" s="18">
        <f t="shared" si="2"/>
        <v>20.956485910412937</v>
      </c>
      <c r="I21" s="18">
        <f t="shared" si="3"/>
        <v>2.7178524214333736E-4</v>
      </c>
      <c r="J21" s="19">
        <v>-1.9849769413820183E-2</v>
      </c>
      <c r="K21" s="19">
        <v>9.3303474922846567E-3</v>
      </c>
      <c r="L21" s="19"/>
      <c r="M21" s="21"/>
      <c r="N21" s="20"/>
      <c r="O21" s="20"/>
      <c r="P21" s="104"/>
      <c r="Q21" s="20"/>
      <c r="R21" s="20"/>
      <c r="S21" s="20"/>
      <c r="T21" s="20"/>
      <c r="U21" s="20"/>
      <c r="V21" s="20"/>
      <c r="W21" s="20"/>
      <c r="X21" s="20"/>
      <c r="Y21" s="20"/>
      <c r="Z21" s="20"/>
      <c r="AA21" t="str">
        <v/>
      </c>
    </row>
    <row r="22" spans="1:27" ht="15.75" thickBot="1" x14ac:dyDescent="0.3">
      <c r="A22" t="str">
        <v/>
      </c>
      <c r="B22" s="95">
        <v>41832.291666666664</v>
      </c>
      <c r="C22" s="126">
        <v>23.4450579363046</v>
      </c>
      <c r="D22" s="95">
        <v>41832.291666666664</v>
      </c>
      <c r="E22" s="127">
        <v>20.94</v>
      </c>
      <c r="F22" s="90">
        <f t="shared" si="0"/>
        <v>23.424786186487776</v>
      </c>
      <c r="G22" s="90">
        <f t="shared" si="1"/>
        <v>4.1094384063593552E-4</v>
      </c>
      <c r="H22" s="18">
        <f t="shared" si="2"/>
        <v>20.916014667607335</v>
      </c>
      <c r="I22" s="18">
        <f t="shared" si="3"/>
        <v>5.7529616998667197E-4</v>
      </c>
      <c r="J22" s="19">
        <v>-9.2364824345766375E-3</v>
      </c>
      <c r="K22" s="19">
        <v>-2.7017327305333544E-3</v>
      </c>
      <c r="L22" s="19"/>
      <c r="M22" s="22"/>
      <c r="N22" s="20"/>
      <c r="O22" s="20"/>
      <c r="P22" s="20"/>
      <c r="Q22" s="20"/>
      <c r="R22" s="20"/>
      <c r="S22" s="20"/>
      <c r="T22" s="20"/>
      <c r="U22" s="20"/>
      <c r="V22" s="20"/>
      <c r="W22" s="20"/>
      <c r="X22" s="20"/>
      <c r="Y22" s="20"/>
      <c r="Z22" s="20"/>
      <c r="AA22" t="str">
        <v/>
      </c>
    </row>
    <row r="23" spans="1:27" ht="16.5" thickTop="1" thickBot="1" x14ac:dyDescent="0.3">
      <c r="A23" t="str">
        <v/>
      </c>
      <c r="B23" s="95">
        <v>41832.333333333336</v>
      </c>
      <c r="C23" s="126">
        <v>23.4450579363046</v>
      </c>
      <c r="D23" s="95">
        <v>41832.333333333336</v>
      </c>
      <c r="E23" s="127">
        <v>20.88</v>
      </c>
      <c r="F23" s="90">
        <f t="shared" si="0"/>
        <v>23.471380708465855</v>
      </c>
      <c r="G23" s="90">
        <f t="shared" si="1"/>
        <v>6.9288833425331221E-4</v>
      </c>
      <c r="H23" s="18">
        <f t="shared" si="2"/>
        <v>20.877865597414054</v>
      </c>
      <c r="I23" s="18">
        <f t="shared" si="3"/>
        <v>4.5556743988882055E-6</v>
      </c>
      <c r="J23" s="19">
        <v>-6.1905383263138117E-3</v>
      </c>
      <c r="K23" s="19">
        <v>4.3290755266169123E-3</v>
      </c>
      <c r="L23" s="19"/>
      <c r="M23" s="23"/>
      <c r="N23" s="20"/>
      <c r="O23" s="20"/>
      <c r="P23" s="20"/>
      <c r="Q23" s="20"/>
      <c r="R23" s="28" t="s">
        <v>14</v>
      </c>
      <c r="S23" s="80">
        <v>0.1</v>
      </c>
      <c r="T23" s="54" t="s">
        <v>15</v>
      </c>
      <c r="U23" s="26"/>
      <c r="V23" s="20"/>
      <c r="W23" s="20"/>
      <c r="X23" s="20"/>
      <c r="Y23" s="20"/>
      <c r="Z23" s="20"/>
      <c r="AA23" t="str">
        <v/>
      </c>
    </row>
    <row r="24" spans="1:27" ht="15.75" thickTop="1" x14ac:dyDescent="0.25">
      <c r="A24" t="str">
        <v/>
      </c>
      <c r="B24" s="95">
        <v>41832.375</v>
      </c>
      <c r="C24" s="126">
        <v>23.632608240754301</v>
      </c>
      <c r="D24" s="95">
        <v>41832.375</v>
      </c>
      <c r="E24" s="127">
        <v>20.82</v>
      </c>
      <c r="F24" s="90">
        <f t="shared" si="0"/>
        <v>23.650234240881609</v>
      </c>
      <c r="G24" s="90">
        <f t="shared" si="1"/>
        <v>3.1067588048785673E-4</v>
      </c>
      <c r="H24" s="18">
        <f t="shared" si="2"/>
        <v>20.843393108989272</v>
      </c>
      <c r="I24" s="18">
        <f t="shared" si="3"/>
        <v>5.4723754818392957E-4</v>
      </c>
      <c r="J24" s="18"/>
      <c r="K24" s="18"/>
      <c r="L24" s="18"/>
      <c r="M24" s="18"/>
      <c r="N24" s="20"/>
      <c r="O24" s="20"/>
      <c r="P24" s="20"/>
      <c r="Q24" s="20"/>
      <c r="R24" s="20"/>
      <c r="S24" s="20"/>
      <c r="T24" s="20"/>
      <c r="U24" s="20"/>
      <c r="V24" s="20"/>
      <c r="W24" s="20"/>
      <c r="X24" s="20"/>
      <c r="Y24" s="20"/>
      <c r="Z24" s="20"/>
      <c r="AA24" t="str">
        <v/>
      </c>
    </row>
    <row r="25" spans="1:27" x14ac:dyDescent="0.25">
      <c r="A25" t="str">
        <v/>
      </c>
      <c r="B25" s="95">
        <v>41832.416666666664</v>
      </c>
      <c r="C25" s="126">
        <v>23.9451797957386</v>
      </c>
      <c r="D25" s="95">
        <v>41832.416666666664</v>
      </c>
      <c r="E25" s="127">
        <v>20.82</v>
      </c>
      <c r="F25" s="90">
        <f t="shared" si="0"/>
        <v>23.927298714284657</v>
      </c>
      <c r="G25" s="90">
        <f t="shared" si="1"/>
        <v>3.1973307396255082E-4</v>
      </c>
      <c r="H25" s="18">
        <f t="shared" si="2"/>
        <v>20.817377001107918</v>
      </c>
      <c r="I25" s="18">
        <f t="shared" si="3"/>
        <v>6.8801231878660564E-6</v>
      </c>
      <c r="J25" s="18"/>
      <c r="K25" s="18"/>
      <c r="L25" s="18"/>
      <c r="M25" s="18"/>
      <c r="N25" s="20"/>
      <c r="O25" s="20"/>
      <c r="P25" s="20"/>
      <c r="Q25" s="20"/>
      <c r="R25" s="20"/>
      <c r="S25" s="20"/>
      <c r="T25" s="20"/>
      <c r="U25" s="20"/>
      <c r="V25" s="27"/>
      <c r="W25" s="20"/>
      <c r="X25" s="20"/>
      <c r="Y25" s="20"/>
      <c r="Z25" s="20"/>
      <c r="AA25" t="str">
        <v/>
      </c>
    </row>
    <row r="26" spans="1:27" x14ac:dyDescent="0.25">
      <c r="A26" t="str">
        <v/>
      </c>
      <c r="B26" s="95">
        <v>41832.458333333336</v>
      </c>
      <c r="C26" s="126">
        <v>24.257735993516398</v>
      </c>
      <c r="D26" s="95">
        <v>41832.458333333336</v>
      </c>
      <c r="E26" s="127">
        <v>20.82</v>
      </c>
      <c r="F26" s="90">
        <f t="shared" si="0"/>
        <v>24.238172478414754</v>
      </c>
      <c r="G26" s="90">
        <f t="shared" si="1"/>
        <v>3.8273112313227898E-4</v>
      </c>
      <c r="H26" s="18">
        <f t="shared" si="2"/>
        <v>20.806730228488679</v>
      </c>
      <c r="I26" s="18">
        <f t="shared" si="3"/>
        <v>1.7608683596268481E-4</v>
      </c>
      <c r="J26" s="18"/>
      <c r="K26" s="18"/>
      <c r="L26" s="18"/>
      <c r="M26" s="18"/>
      <c r="N26" s="20"/>
      <c r="O26" s="20"/>
      <c r="P26" s="20"/>
      <c r="Q26" s="20"/>
      <c r="R26" s="20"/>
      <c r="S26" s="20"/>
      <c r="T26" s="20"/>
      <c r="U26" s="20"/>
      <c r="V26" s="20"/>
      <c r="W26" s="20"/>
      <c r="X26" s="20"/>
      <c r="Y26" s="20"/>
      <c r="Z26" s="20"/>
      <c r="AA26" t="str">
        <v/>
      </c>
    </row>
    <row r="27" spans="1:27" x14ac:dyDescent="0.25">
      <c r="A27" t="str">
        <v/>
      </c>
      <c r="B27" s="95">
        <v>41832.5</v>
      </c>
      <c r="C27" s="126">
        <v>24.507769894549799</v>
      </c>
      <c r="D27" s="95">
        <v>41832.5</v>
      </c>
      <c r="E27" s="127">
        <v>20.82</v>
      </c>
      <c r="F27" s="90">
        <f t="shared" si="0"/>
        <v>24.514090172282085</v>
      </c>
      <c r="G27" s="90">
        <f t="shared" si="1"/>
        <v>3.9945910613226687E-5</v>
      </c>
      <c r="H27" s="18">
        <f t="shared" si="2"/>
        <v>20.814925918598959</v>
      </c>
      <c r="I27" s="18">
        <f t="shared" si="3"/>
        <v>2.5746302064390621E-5</v>
      </c>
      <c r="J27" s="18"/>
      <c r="K27" s="18"/>
      <c r="L27" s="18"/>
      <c r="M27" s="18"/>
      <c r="N27" s="20"/>
      <c r="O27" s="20"/>
      <c r="P27" s="20"/>
      <c r="Q27" s="20"/>
      <c r="R27" s="20"/>
      <c r="S27" s="20"/>
      <c r="T27" s="20"/>
      <c r="U27" s="20"/>
      <c r="V27" s="20"/>
      <c r="W27" s="20"/>
      <c r="X27" s="20"/>
      <c r="Y27" s="20"/>
      <c r="Z27" s="20"/>
      <c r="AA27" t="str">
        <v/>
      </c>
    </row>
    <row r="28" spans="1:27" x14ac:dyDescent="0.25">
      <c r="A28" t="str">
        <v/>
      </c>
      <c r="B28" s="95">
        <v>41832.541666666664</v>
      </c>
      <c r="C28" s="126">
        <v>24.695288870298199</v>
      </c>
      <c r="D28" s="95">
        <v>41832.541666666664</v>
      </c>
      <c r="E28" s="127">
        <v>20.82</v>
      </c>
      <c r="F28" s="90">
        <f t="shared" si="0"/>
        <v>24.711327676994149</v>
      </c>
      <c r="G28" s="90">
        <f t="shared" si="1"/>
        <v>2.5724332023002321E-4</v>
      </c>
      <c r="H28" s="18">
        <f t="shared" si="2"/>
        <v>20.838006252202696</v>
      </c>
      <c r="I28" s="18">
        <f t="shared" si="3"/>
        <v>3.2422511838708755E-4</v>
      </c>
      <c r="J28" s="18"/>
      <c r="K28" s="18"/>
      <c r="L28" s="18"/>
      <c r="M28" s="18"/>
      <c r="N28" s="20"/>
      <c r="O28" s="20"/>
      <c r="P28" s="20"/>
      <c r="Q28" s="20"/>
      <c r="R28" s="20"/>
      <c r="S28" s="20"/>
      <c r="T28" s="20"/>
      <c r="U28" s="20"/>
      <c r="V28" s="20"/>
      <c r="W28" s="20"/>
      <c r="X28" s="20"/>
      <c r="Y28" s="20"/>
      <c r="Z28" s="20"/>
      <c r="AA28" t="str">
        <v/>
      </c>
    </row>
    <row r="29" spans="1:27" x14ac:dyDescent="0.25">
      <c r="A29" t="str">
        <v/>
      </c>
      <c r="B29" s="95">
        <v>41832.583333333336</v>
      </c>
      <c r="C29" s="126">
        <v>24.8202984493558</v>
      </c>
      <c r="D29" s="95">
        <v>41832.583333333336</v>
      </c>
      <c r="E29" s="127">
        <v>20.88</v>
      </c>
      <c r="F29" s="90">
        <f t="shared" si="0"/>
        <v>24.824446509127878</v>
      </c>
      <c r="G29" s="90">
        <f t="shared" si="1"/>
        <v>1.72063998727299E-5</v>
      </c>
      <c r="H29" s="18">
        <f t="shared" si="2"/>
        <v>20.866968431998657</v>
      </c>
      <c r="I29" s="18">
        <f t="shared" si="3"/>
        <v>1.6982176457359431E-4</v>
      </c>
      <c r="J29" s="18"/>
      <c r="K29" s="18" t="s">
        <v>168</v>
      </c>
      <c r="L29" s="18"/>
      <c r="M29" s="18"/>
      <c r="N29" s="20"/>
      <c r="O29" s="20"/>
      <c r="P29" s="20"/>
      <c r="Q29" s="20"/>
      <c r="R29" s="20"/>
      <c r="S29" s="20"/>
      <c r="T29" s="20"/>
      <c r="U29" s="20"/>
      <c r="V29" s="20"/>
      <c r="W29" s="20"/>
      <c r="X29" s="20"/>
      <c r="Y29" s="20"/>
      <c r="Z29" s="20"/>
      <c r="AA29" t="str">
        <v/>
      </c>
    </row>
    <row r="30" spans="1:27" x14ac:dyDescent="0.25">
      <c r="A30" t="str">
        <v/>
      </c>
      <c r="B30" s="95">
        <v>41832.625</v>
      </c>
      <c r="C30" s="126">
        <v>24.8828023174522</v>
      </c>
      <c r="D30" s="95">
        <v>41832.625</v>
      </c>
      <c r="E30" s="127">
        <v>20.88</v>
      </c>
      <c r="F30" s="90">
        <f t="shared" si="0"/>
        <v>24.874552270598102</v>
      </c>
      <c r="G30" s="90">
        <f t="shared" si="1"/>
        <v>6.8063273094809057E-5</v>
      </c>
      <c r="H30" s="18">
        <f t="shared" si="2"/>
        <v>20.894907234471731</v>
      </c>
      <c r="I30" s="18">
        <f t="shared" si="3"/>
        <v>2.2222563959518922E-4</v>
      </c>
      <c r="J30" s="18"/>
      <c r="K30" s="18"/>
      <c r="L30" s="18"/>
      <c r="M30" s="18"/>
      <c r="N30" s="20"/>
      <c r="O30" s="20"/>
      <c r="P30" s="20"/>
      <c r="Q30" s="20"/>
      <c r="R30" s="20"/>
      <c r="S30" s="20"/>
      <c r="T30" s="20"/>
      <c r="U30" s="20"/>
      <c r="V30" s="20"/>
      <c r="W30" s="24"/>
      <c r="X30" s="40"/>
      <c r="Y30" s="25"/>
      <c r="Z30" s="20"/>
      <c r="AA30" t="str">
        <v/>
      </c>
    </row>
    <row r="31" spans="1:27" x14ac:dyDescent="0.25">
      <c r="A31" t="str">
        <v/>
      </c>
      <c r="B31" s="95">
        <v>41832.666666666664</v>
      </c>
      <c r="C31" s="126">
        <v>24.8828023174522</v>
      </c>
      <c r="D31" s="95">
        <v>41832.666666666664</v>
      </c>
      <c r="E31" s="127">
        <v>20.94</v>
      </c>
      <c r="F31" s="90">
        <f t="shared" si="0"/>
        <v>24.883317370521905</v>
      </c>
      <c r="G31" s="90">
        <f t="shared" si="1"/>
        <v>2.6527966461266523E-7</v>
      </c>
      <c r="H31" s="18">
        <f t="shared" si="2"/>
        <v>20.922085586714264</v>
      </c>
      <c r="I31" s="18">
        <f t="shared" si="3"/>
        <v>3.2092620337220452E-4</v>
      </c>
      <c r="J31" s="18"/>
      <c r="K31" s="18"/>
      <c r="L31" s="18"/>
      <c r="M31" s="18"/>
      <c r="N31" s="20"/>
      <c r="O31" s="20"/>
      <c r="P31" s="51" t="s">
        <v>18</v>
      </c>
      <c r="Q31" s="20"/>
      <c r="R31" s="20"/>
      <c r="S31" s="20"/>
      <c r="T31" s="20"/>
      <c r="U31" s="20"/>
      <c r="V31" s="20"/>
      <c r="W31" s="20"/>
      <c r="X31" s="20"/>
      <c r="Y31" s="20"/>
      <c r="Z31" s="20"/>
      <c r="AA31" t="str">
        <v/>
      </c>
    </row>
    <row r="32" spans="1:27" x14ac:dyDescent="0.25">
      <c r="A32" t="str">
        <v/>
      </c>
      <c r="B32" s="95">
        <v>41832.708333333336</v>
      </c>
      <c r="C32" s="126">
        <v>24.8828023174522</v>
      </c>
      <c r="D32" s="95">
        <v>41832.708333333336</v>
      </c>
      <c r="E32" s="127">
        <v>20.94</v>
      </c>
      <c r="F32" s="90">
        <f t="shared" si="0"/>
        <v>24.854902049815397</v>
      </c>
      <c r="G32" s="90">
        <f t="shared" si="1"/>
        <v>7.7842493420519844E-4</v>
      </c>
      <c r="H32" s="18">
        <f t="shared" si="2"/>
        <v>20.953685283089865</v>
      </c>
      <c r="I32" s="18">
        <f t="shared" si="3"/>
        <v>1.8728697324969773E-4</v>
      </c>
      <c r="J32" s="18"/>
      <c r="M32" s="18"/>
      <c r="N32" s="20"/>
      <c r="O32" s="20"/>
      <c r="P32" s="20"/>
      <c r="Q32" s="20"/>
      <c r="R32" s="20"/>
      <c r="S32" s="20"/>
      <c r="T32" s="20"/>
      <c r="U32" s="20"/>
      <c r="V32" s="20"/>
      <c r="W32" s="20"/>
      <c r="X32" s="20"/>
      <c r="Y32" s="20"/>
      <c r="Z32" s="20"/>
      <c r="AA32" t="str">
        <v/>
      </c>
    </row>
    <row r="33" spans="1:27" ht="15" customHeight="1" x14ac:dyDescent="0.25">
      <c r="A33" t="str">
        <v/>
      </c>
      <c r="B33" s="95">
        <v>41832.75</v>
      </c>
      <c r="C33" s="126">
        <v>24.7577939669711</v>
      </c>
      <c r="D33" s="95">
        <v>41832.75</v>
      </c>
      <c r="E33" s="127">
        <v>21.01</v>
      </c>
      <c r="F33" s="90">
        <f t="shared" si="0"/>
        <v>24.780312904411616</v>
      </c>
      <c r="G33" s="90">
        <f t="shared" si="1"/>
        <v>5.0710254344987966E-4</v>
      </c>
      <c r="H33" s="18">
        <f t="shared" si="2"/>
        <v>20.992140746471474</v>
      </c>
      <c r="I33" s="18">
        <f t="shared" si="3"/>
        <v>3.1895293659622463E-4</v>
      </c>
      <c r="M33" s="18"/>
      <c r="N33" s="20"/>
      <c r="O33" s="20"/>
      <c r="P33" s="20"/>
      <c r="Q33" s="20"/>
      <c r="R33" s="20"/>
      <c r="S33" s="20"/>
      <c r="T33" s="20"/>
      <c r="U33" s="20"/>
      <c r="V33" s="20"/>
      <c r="W33" s="20"/>
      <c r="X33" s="20"/>
      <c r="Y33" s="20"/>
      <c r="Z33" s="20"/>
      <c r="AA33" t="str">
        <v/>
      </c>
    </row>
    <row r="34" spans="1:27" x14ac:dyDescent="0.25">
      <c r="A34" t="str">
        <v/>
      </c>
      <c r="B34" s="95">
        <v>41832.791666666664</v>
      </c>
      <c r="C34" s="126">
        <v>24.632783159336999</v>
      </c>
      <c r="D34" s="95">
        <v>41832.791666666664</v>
      </c>
      <c r="E34" s="127">
        <v>21.01</v>
      </c>
      <c r="F34" s="90">
        <f t="shared" si="0"/>
        <v>24.658326455691579</v>
      </c>
      <c r="G34" s="90">
        <f t="shared" si="1"/>
        <v>6.5245998865793805E-4</v>
      </c>
      <c r="H34" s="18">
        <f t="shared" si="2"/>
        <v>21.031651629181532</v>
      </c>
      <c r="I34" s="18">
        <f t="shared" si="3"/>
        <v>4.6879304621449432E-4</v>
      </c>
      <c r="M34" s="18"/>
      <c r="N34" s="20"/>
      <c r="O34" s="20"/>
      <c r="P34" s="20"/>
      <c r="Q34" s="20"/>
      <c r="R34" s="20"/>
      <c r="S34" s="20"/>
      <c r="T34" s="20"/>
      <c r="U34" s="20"/>
      <c r="V34" s="20"/>
      <c r="W34" s="20"/>
      <c r="X34" s="20"/>
      <c r="Y34" s="20"/>
      <c r="Z34" s="20"/>
      <c r="AA34" t="str">
        <v/>
      </c>
    </row>
    <row r="35" spans="1:27" x14ac:dyDescent="0.25">
      <c r="A35" t="str">
        <v/>
      </c>
      <c r="B35" s="95">
        <v>41832.833333333336</v>
      </c>
      <c r="C35" s="126">
        <v>24.507769894549799</v>
      </c>
      <c r="D35" s="95">
        <v>41832.833333333336</v>
      </c>
      <c r="E35" s="127">
        <v>21.07</v>
      </c>
      <c r="F35" s="90">
        <f t="shared" si="0"/>
        <v>24.511990787790189</v>
      </c>
      <c r="G35" s="90">
        <f t="shared" si="1"/>
        <v>1.7815939746771775E-5</v>
      </c>
      <c r="H35" s="18">
        <f t="shared" si="2"/>
        <v>21.060820447882509</v>
      </c>
      <c r="I35" s="18">
        <f t="shared" si="3"/>
        <v>8.4264177077731403E-5</v>
      </c>
      <c r="M35" s="18"/>
      <c r="N35" s="20"/>
      <c r="O35" s="101"/>
      <c r="P35" s="102"/>
      <c r="Q35" s="20"/>
      <c r="R35" s="20"/>
      <c r="S35" s="20"/>
      <c r="T35" s="20"/>
      <c r="U35" s="20"/>
      <c r="V35" s="20"/>
      <c r="W35" s="20"/>
      <c r="X35" s="20"/>
      <c r="Y35" s="20"/>
      <c r="Z35" s="20"/>
      <c r="AA35" t="str">
        <v/>
      </c>
    </row>
    <row r="36" spans="1:27" x14ac:dyDescent="0.25">
      <c r="A36" t="str">
        <v/>
      </c>
      <c r="B36" s="95">
        <v>41832.875</v>
      </c>
      <c r="C36" s="126">
        <v>24.4452623407239</v>
      </c>
      <c r="D36" s="95">
        <v>41832.875</v>
      </c>
      <c r="E36" s="127">
        <v>21.07</v>
      </c>
      <c r="F36" s="90">
        <f t="shared" si="0"/>
        <v>24.383482651832015</v>
      </c>
      <c r="G36" s="90">
        <f t="shared" si="1"/>
        <v>3.8167299595781414E-3</v>
      </c>
      <c r="H36" s="18">
        <f t="shared" si="2"/>
        <v>21.071635467382528</v>
      </c>
      <c r="I36" s="18">
        <f t="shared" si="3"/>
        <v>2.6747535593117517E-6</v>
      </c>
      <c r="M36" s="18"/>
      <c r="N36" s="20"/>
      <c r="O36" s="20"/>
      <c r="P36" s="20"/>
      <c r="Q36" s="20"/>
      <c r="R36" s="20"/>
      <c r="S36" s="20"/>
      <c r="T36" s="20"/>
      <c r="U36" s="20"/>
      <c r="V36" s="20"/>
      <c r="W36" s="20"/>
      <c r="X36" s="20"/>
      <c r="Y36" s="20"/>
      <c r="Z36" s="20"/>
      <c r="AA36" t="str">
        <v/>
      </c>
    </row>
    <row r="37" spans="1:27" x14ac:dyDescent="0.25">
      <c r="A37" t="str">
        <v/>
      </c>
      <c r="B37" s="95">
        <v>41832.916666666664</v>
      </c>
      <c r="C37" s="126">
        <v>24.320245390207099</v>
      </c>
      <c r="D37" s="95">
        <v>41832.916666666664</v>
      </c>
      <c r="E37" s="127">
        <v>21.07</v>
      </c>
      <c r="F37" s="90">
        <f t="shared" si="0"/>
        <v>24.309273031161048</v>
      </c>
      <c r="G37" s="90">
        <f t="shared" si="1"/>
        <v>1.2039266303544467E-4</v>
      </c>
      <c r="H37" s="18">
        <f t="shared" si="2"/>
        <v>21.066613147836662</v>
      </c>
      <c r="I37" s="18">
        <f t="shared" si="3"/>
        <v>1.1470767576307328E-5</v>
      </c>
      <c r="M37" s="18"/>
      <c r="N37" s="20"/>
      <c r="O37" s="20"/>
      <c r="P37" s="20"/>
      <c r="Q37" s="20"/>
      <c r="R37" s="20"/>
      <c r="S37" s="20"/>
      <c r="T37" s="20"/>
      <c r="U37" s="20"/>
      <c r="V37" s="20"/>
      <c r="W37" s="20"/>
      <c r="X37" s="20"/>
      <c r="Y37" s="20"/>
      <c r="Z37" s="20"/>
      <c r="AA37" t="str">
        <v/>
      </c>
    </row>
    <row r="38" spans="1:27" ht="13.7" customHeight="1" x14ac:dyDescent="0.25">
      <c r="A38" t="str">
        <v/>
      </c>
      <c r="B38" s="95">
        <v>41832.958333333336</v>
      </c>
      <c r="C38" s="126">
        <v>24.195225982537298</v>
      </c>
      <c r="D38" s="95">
        <v>41832.958333333336</v>
      </c>
      <c r="E38" s="127">
        <v>21.07</v>
      </c>
      <c r="F38" s="90">
        <f t="shared" si="0"/>
        <v>24.294923637485375</v>
      </c>
      <c r="G38" s="90">
        <f t="shared" si="1"/>
        <v>9.9396224021458292E-3</v>
      </c>
      <c r="H38" s="18">
        <f t="shared" si="2"/>
        <v>21.05717809249008</v>
      </c>
      <c r="I38" s="18">
        <f t="shared" si="3"/>
        <v>1.6440131219295042E-4</v>
      </c>
      <c r="J38" s="32"/>
      <c r="M38" s="18"/>
      <c r="N38" s="41" t="s">
        <v>23</v>
      </c>
      <c r="O38" s="42">
        <v>3314000</v>
      </c>
      <c r="P38" s="41" t="s">
        <v>24</v>
      </c>
      <c r="Q38" s="45"/>
      <c r="R38" s="45"/>
      <c r="S38" s="45"/>
      <c r="T38" s="45"/>
      <c r="U38" s="45"/>
      <c r="V38" s="45"/>
      <c r="W38" s="43" t="s">
        <v>25</v>
      </c>
      <c r="X38" s="44">
        <v>0.13043873599594732</v>
      </c>
      <c r="Y38" s="45" t="s">
        <v>26</v>
      </c>
      <c r="Z38" s="20"/>
      <c r="AA38" t="str">
        <v/>
      </c>
    </row>
    <row r="39" spans="1:27" x14ac:dyDescent="0.25">
      <c r="A39" t="str">
        <v/>
      </c>
      <c r="B39" s="95">
        <v>41833</v>
      </c>
      <c r="C39" s="126">
        <v>24.132715357270101</v>
      </c>
      <c r="D39" s="95">
        <v>41833</v>
      </c>
      <c r="E39" s="127">
        <v>21.01</v>
      </c>
      <c r="F39" s="90">
        <f t="shared" si="0"/>
        <v>24.309348299394326</v>
      </c>
      <c r="G39" s="90">
        <f t="shared" si="1"/>
        <v>3.1199196243459969E-2</v>
      </c>
      <c r="H39" s="18">
        <f t="shared" si="2"/>
        <v>21.054301660624702</v>
      </c>
      <c r="I39" s="18">
        <f t="shared" si="3"/>
        <v>1.9626371341061517E-3</v>
      </c>
      <c r="J39" s="32"/>
      <c r="M39" s="18"/>
      <c r="N39" s="46" t="s">
        <v>27</v>
      </c>
      <c r="O39" s="47">
        <v>0.22119765047900261</v>
      </c>
      <c r="P39" s="45"/>
      <c r="Q39" s="45"/>
      <c r="R39" s="45"/>
      <c r="S39" s="45"/>
      <c r="T39" s="45"/>
      <c r="U39" s="45"/>
      <c r="V39" s="45"/>
      <c r="W39" s="45" t="s">
        <v>28</v>
      </c>
      <c r="X39" s="45">
        <f>X38+((2*((86400*S2/O38)+S4*ABS(X38))/S23)*LN(O39))+SQRT(((SQRT(X38^4+(8*PI()*((86400*S2/O38)+S4*ABS(X38))/1)^2)+X38^2)/2))</f>
        <v>-6.2304660097822762E-8</v>
      </c>
      <c r="Y39" s="45"/>
      <c r="Z39" s="20"/>
      <c r="AA39" t="str">
        <v/>
      </c>
    </row>
    <row r="40" spans="1:27" x14ac:dyDescent="0.25">
      <c r="A40" t="str">
        <v/>
      </c>
      <c r="B40" s="36"/>
      <c r="C40"/>
      <c r="D40" s="36"/>
      <c r="E40"/>
      <c r="F40" s="90"/>
      <c r="G40" s="90"/>
      <c r="H40" s="18"/>
      <c r="I40" s="18"/>
      <c r="J40" s="32"/>
      <c r="M40" s="18"/>
      <c r="N40" s="20"/>
      <c r="O40" s="20"/>
      <c r="P40" s="20"/>
      <c r="Q40" s="104"/>
      <c r="R40" s="20"/>
      <c r="S40" s="20"/>
      <c r="T40" s="20"/>
      <c r="U40" s="20"/>
      <c r="V40" s="20"/>
      <c r="W40" s="20"/>
      <c r="X40" s="20"/>
      <c r="Y40" s="20"/>
      <c r="Z40" s="20"/>
      <c r="AA40" t="str">
        <v/>
      </c>
    </row>
    <row r="41" spans="1:27" x14ac:dyDescent="0.25">
      <c r="A41" t="str">
        <v/>
      </c>
      <c r="B41" s="36"/>
      <c r="C41"/>
      <c r="D41" s="36"/>
      <c r="E41"/>
      <c r="F41" s="90"/>
      <c r="G41" s="90"/>
      <c r="H41" s="18"/>
      <c r="I41" s="18"/>
      <c r="J41" s="32"/>
      <c r="M41" s="18"/>
      <c r="N41" s="20"/>
      <c r="O41" s="20"/>
      <c r="P41" s="20"/>
      <c r="Q41" s="20"/>
      <c r="R41" s="20"/>
      <c r="S41" s="20"/>
      <c r="T41" s="20"/>
      <c r="U41" s="20"/>
      <c r="V41" s="20"/>
      <c r="W41" s="20"/>
      <c r="X41" s="20"/>
      <c r="Y41" s="20"/>
      <c r="Z41" s="20"/>
      <c r="AA41" t="str">
        <v/>
      </c>
    </row>
    <row r="42" spans="1:27" x14ac:dyDescent="0.25">
      <c r="A42" t="str">
        <v/>
      </c>
      <c r="B42" s="36"/>
      <c r="C42"/>
      <c r="D42" s="36"/>
      <c r="E42"/>
      <c r="F42" s="90"/>
      <c r="G42" s="90"/>
      <c r="H42" s="18"/>
      <c r="I42" s="18"/>
      <c r="J42" s="32"/>
      <c r="M42" s="18"/>
      <c r="N42" s="20"/>
      <c r="O42" s="20"/>
      <c r="P42" s="20"/>
      <c r="Q42" s="20"/>
      <c r="R42" s="20"/>
      <c r="S42" s="20"/>
      <c r="T42" s="20"/>
      <c r="U42" s="20"/>
      <c r="V42" s="20"/>
      <c r="W42" s="20"/>
      <c r="X42" s="20"/>
      <c r="Y42" s="20"/>
      <c r="Z42" s="20"/>
      <c r="AA42" t="str">
        <v/>
      </c>
    </row>
    <row r="43" spans="1:27" x14ac:dyDescent="0.25">
      <c r="A43" t="str">
        <v/>
      </c>
      <c r="B43" s="36"/>
      <c r="C43"/>
      <c r="D43" s="36"/>
      <c r="E43"/>
      <c r="F43" s="90"/>
      <c r="G43" s="90"/>
      <c r="H43" s="18"/>
      <c r="I43" s="18"/>
      <c r="J43" s="32"/>
      <c r="M43" s="18"/>
      <c r="N43" s="20"/>
      <c r="O43" s="20"/>
      <c r="P43" s="20"/>
      <c r="Q43" s="20"/>
      <c r="R43" s="20"/>
      <c r="S43" s="20"/>
      <c r="T43" s="20"/>
      <c r="U43" s="20"/>
      <c r="V43" s="20"/>
      <c r="W43" s="20"/>
      <c r="X43" s="20"/>
      <c r="Y43" s="20"/>
      <c r="Z43" s="20"/>
      <c r="AA43" t="str">
        <v/>
      </c>
    </row>
    <row r="44" spans="1:27" x14ac:dyDescent="0.25">
      <c r="A44" t="str">
        <v/>
      </c>
      <c r="B44" s="36"/>
      <c r="C44"/>
      <c r="D44" s="36"/>
      <c r="E44"/>
      <c r="F44" s="90"/>
      <c r="G44" s="90"/>
      <c r="H44" s="18"/>
      <c r="I44" s="18"/>
      <c r="J44" s="32"/>
      <c r="M44" s="18"/>
      <c r="N44" s="20"/>
      <c r="O44" s="20"/>
      <c r="P44" s="20"/>
      <c r="Q44" s="20"/>
      <c r="R44" s="20"/>
      <c r="S44" s="20"/>
      <c r="T44" s="20"/>
      <c r="U44" s="20"/>
      <c r="V44" s="20"/>
      <c r="W44" s="20"/>
      <c r="X44" s="20"/>
      <c r="Y44" s="20"/>
      <c r="Z44" s="20"/>
      <c r="AA44" t="str">
        <v/>
      </c>
    </row>
    <row r="45" spans="1:27" x14ac:dyDescent="0.25">
      <c r="A45" t="str">
        <v/>
      </c>
      <c r="B45" s="36"/>
      <c r="C45"/>
      <c r="D45" s="36"/>
      <c r="E45"/>
      <c r="F45" s="90"/>
      <c r="G45" s="90"/>
      <c r="H45" s="18"/>
      <c r="I45" s="18"/>
      <c r="J45" s="32"/>
      <c r="M45" s="18"/>
      <c r="N45" s="33"/>
      <c r="O45" s="34"/>
      <c r="P45" s="35"/>
      <c r="Q45" s="20"/>
      <c r="R45" s="20"/>
      <c r="S45" s="20"/>
      <c r="T45" s="20"/>
      <c r="U45" s="20"/>
      <c r="V45" s="20"/>
      <c r="W45" s="20"/>
      <c r="X45" s="33"/>
      <c r="Y45" s="34"/>
      <c r="Z45" s="35"/>
      <c r="AA45" t="str">
        <v/>
      </c>
    </row>
    <row r="46" spans="1:27" x14ac:dyDescent="0.25">
      <c r="A46" t="str">
        <v/>
      </c>
      <c r="B46" s="36"/>
      <c r="C46"/>
      <c r="D46" s="36"/>
      <c r="E46"/>
      <c r="F46" s="90"/>
      <c r="G46" s="90"/>
      <c r="H46" s="18"/>
      <c r="I46" s="18"/>
      <c r="J46" s="32"/>
      <c r="M46" s="18"/>
      <c r="N46" s="20"/>
      <c r="O46" s="20"/>
      <c r="P46" s="20"/>
      <c r="Q46" s="20"/>
      <c r="R46" s="20"/>
      <c r="S46" s="20"/>
      <c r="T46" s="20"/>
      <c r="U46" s="20"/>
      <c r="V46" s="20"/>
      <c r="W46" s="20"/>
      <c r="X46" s="20"/>
      <c r="Y46" s="20"/>
      <c r="Z46" s="20"/>
      <c r="AA46" t="str">
        <v/>
      </c>
    </row>
    <row r="47" spans="1:27" x14ac:dyDescent="0.25">
      <c r="B47" s="36"/>
      <c r="C47"/>
      <c r="D47" s="36"/>
      <c r="E47"/>
      <c r="F47" s="90"/>
      <c r="G47" s="90"/>
      <c r="H47" s="18"/>
      <c r="I47" s="18"/>
      <c r="J47" s="32"/>
      <c r="M47" s="18"/>
      <c r="N47" s="1"/>
      <c r="O47" s="1"/>
      <c r="P47" s="1"/>
      <c r="Q47" s="1"/>
      <c r="R47" s="1"/>
      <c r="S47" s="1"/>
      <c r="T47" s="1"/>
      <c r="U47" s="1"/>
      <c r="V47" s="1"/>
      <c r="W47" s="1"/>
      <c r="AA47" t="str">
        <v/>
      </c>
    </row>
    <row r="48" spans="1:27" x14ac:dyDescent="0.25">
      <c r="B48" s="36"/>
      <c r="C48"/>
      <c r="D48" s="36"/>
      <c r="E48"/>
      <c r="F48" s="90"/>
      <c r="G48" s="90"/>
      <c r="H48" s="18"/>
      <c r="I48" s="18"/>
      <c r="J48" s="36"/>
    </row>
    <row r="49" spans="2:10" x14ac:dyDescent="0.25">
      <c r="B49" s="36"/>
      <c r="C49"/>
      <c r="D49" s="36"/>
      <c r="E49"/>
      <c r="F49" s="90"/>
      <c r="G49" s="90"/>
      <c r="H49" s="18"/>
      <c r="I49" s="18"/>
      <c r="J49" s="36"/>
    </row>
    <row r="50" spans="2:10" x14ac:dyDescent="0.25">
      <c r="B50" s="36"/>
      <c r="C50"/>
      <c r="D50" s="36"/>
      <c r="E50"/>
      <c r="F50" s="90"/>
      <c r="G50" s="90"/>
      <c r="H50" s="18"/>
      <c r="I50" s="18"/>
      <c r="J50" s="36"/>
    </row>
    <row r="51" spans="2:10" x14ac:dyDescent="0.25">
      <c r="B51" s="36"/>
      <c r="C51"/>
      <c r="D51" s="36"/>
      <c r="E51"/>
      <c r="F51" s="90"/>
      <c r="G51" s="90"/>
      <c r="H51" s="18"/>
      <c r="I51" s="18"/>
      <c r="J51" s="36"/>
    </row>
    <row r="52" spans="2:10" x14ac:dyDescent="0.25">
      <c r="B52" s="36"/>
      <c r="C52"/>
      <c r="D52" s="36"/>
      <c r="E52"/>
      <c r="F52" s="90"/>
      <c r="G52" s="90"/>
      <c r="H52" s="18"/>
      <c r="I52" s="18"/>
      <c r="J52" s="36"/>
    </row>
    <row r="53" spans="2:10" x14ac:dyDescent="0.25">
      <c r="B53" s="36"/>
      <c r="C53"/>
      <c r="D53" s="36"/>
      <c r="E53"/>
      <c r="F53" s="90"/>
      <c r="G53" s="90"/>
      <c r="H53" s="18"/>
      <c r="I53" s="18"/>
      <c r="J53" s="36"/>
    </row>
    <row r="54" spans="2:10" x14ac:dyDescent="0.25">
      <c r="B54" s="36"/>
      <c r="C54"/>
      <c r="D54" s="36"/>
      <c r="E54"/>
      <c r="F54" s="90"/>
      <c r="G54" s="90"/>
      <c r="H54" s="18"/>
      <c r="I54" s="18"/>
      <c r="J54" s="36"/>
    </row>
    <row r="55" spans="2:10" x14ac:dyDescent="0.25">
      <c r="B55" s="36"/>
      <c r="C55"/>
      <c r="D55" s="36"/>
      <c r="E55"/>
      <c r="F55" s="90"/>
      <c r="G55" s="90"/>
      <c r="H55" s="18"/>
      <c r="I55" s="18"/>
      <c r="J55" s="36"/>
    </row>
    <row r="56" spans="2:10" x14ac:dyDescent="0.25">
      <c r="B56" s="36"/>
      <c r="C56"/>
      <c r="D56" s="36"/>
      <c r="E56"/>
      <c r="F56" s="90"/>
      <c r="G56" s="90"/>
      <c r="H56" s="18"/>
      <c r="I56" s="18"/>
      <c r="J56" s="36"/>
    </row>
    <row r="57" spans="2:10" x14ac:dyDescent="0.25">
      <c r="B57" s="36"/>
      <c r="C57"/>
      <c r="D57" s="36"/>
      <c r="E57"/>
      <c r="F57" s="90"/>
      <c r="G57" s="90"/>
      <c r="H57" s="18"/>
      <c r="I57" s="18"/>
      <c r="J57" s="36"/>
    </row>
    <row r="58" spans="2:10" x14ac:dyDescent="0.25">
      <c r="B58" s="36"/>
      <c r="C58"/>
      <c r="D58" s="36"/>
      <c r="E58"/>
      <c r="F58" s="90"/>
      <c r="G58" s="90"/>
      <c r="H58" s="18"/>
      <c r="I58" s="18"/>
    </row>
    <row r="59" spans="2:10" x14ac:dyDescent="0.25">
      <c r="B59" s="36"/>
      <c r="C59"/>
      <c r="D59" s="36"/>
      <c r="E59"/>
      <c r="F59" s="90"/>
      <c r="G59" s="90"/>
      <c r="H59" s="18"/>
      <c r="I59" s="18"/>
    </row>
    <row r="60" spans="2:10" x14ac:dyDescent="0.25">
      <c r="B60" s="36"/>
      <c r="C60"/>
      <c r="D60" s="36"/>
      <c r="E60"/>
      <c r="F60" s="90"/>
      <c r="G60" s="90"/>
      <c r="H60" s="18"/>
      <c r="I60" s="18"/>
    </row>
    <row r="61" spans="2:10" x14ac:dyDescent="0.25">
      <c r="B61" s="36"/>
      <c r="C61"/>
      <c r="D61" s="36"/>
      <c r="E61"/>
      <c r="F61" s="90"/>
      <c r="G61" s="90"/>
      <c r="H61" s="18"/>
      <c r="I61" s="18"/>
    </row>
    <row r="62" spans="2:10" x14ac:dyDescent="0.25">
      <c r="B62" s="36"/>
      <c r="C62"/>
      <c r="D62" s="36"/>
      <c r="E62"/>
      <c r="F62" s="90"/>
      <c r="G62" s="90"/>
      <c r="H62" s="18"/>
      <c r="I62" s="18"/>
    </row>
    <row r="63" spans="2:10" x14ac:dyDescent="0.25">
      <c r="B63" s="36"/>
      <c r="C63"/>
      <c r="D63" s="36"/>
      <c r="E63"/>
      <c r="F63" s="90"/>
      <c r="G63" s="90"/>
      <c r="H63" s="18"/>
      <c r="I63" s="18"/>
    </row>
  </sheetData>
  <mergeCells count="4">
    <mergeCell ref="U10:V10"/>
    <mergeCell ref="U19:V19"/>
    <mergeCell ref="B12:C12"/>
    <mergeCell ref="D12:E12"/>
  </mergeCells>
  <dataValidations count="3">
    <dataValidation type="decimal" operator="greaterThanOrEqual" showInputMessage="1" showErrorMessage="1" error="This cell must contain a positive number." sqref="S4" xr:uid="{00000000-0002-0000-0200-000000000000}">
      <formula1>0</formula1>
    </dataValidation>
    <dataValidation type="decimal" showInputMessage="1" showErrorMessage="1" error="This cell must contain a positive number between 0 and 1." sqref="O2" xr:uid="{00000000-0002-0000-0200-000001000000}">
      <formula1>0</formula1>
      <formula2>1</formula2>
    </dataValidation>
    <dataValidation type="decimal" operator="greaterThan" showInputMessage="1" showErrorMessage="1" error="This cell must contain a positive number." sqref="S23 O4 O6 O38 O10 S2" xr:uid="{00000000-0002-0000-0200-00000200000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Hatch24H">
                <anchor moveWithCells="1" sizeWithCells="1">
                  <from>
                    <xdr:col>23</xdr:col>
                    <xdr:colOff>276225</xdr:colOff>
                    <xdr:row>0</xdr:row>
                    <xdr:rowOff>171450</xdr:rowOff>
                  </from>
                  <to>
                    <xdr:col>25</xdr:col>
                    <xdr:colOff>942975</xdr:colOff>
                    <xdr:row>3</xdr:row>
                    <xdr:rowOff>228600</xdr:rowOff>
                  </to>
                </anchor>
              </controlPr>
            </control>
          </mc:Choice>
        </mc:AlternateContent>
        <mc:AlternateContent xmlns:mc="http://schemas.openxmlformats.org/markup-compatibility/2006">
          <mc:Choice Requires="x14">
            <control shapeId="2055" r:id="rId5" name="Button 7">
              <controlPr defaultSize="0" print="0" autoFill="0" autoPict="0" macro="[0]!ClearTimeSeriesData">
                <anchor moveWithCells="1" sizeWithCells="1">
                  <from>
                    <xdr:col>0</xdr:col>
                    <xdr:colOff>133350</xdr:colOff>
                    <xdr:row>8</xdr:row>
                    <xdr:rowOff>142875</xdr:rowOff>
                  </from>
                  <to>
                    <xdr:col>3</xdr:col>
                    <xdr:colOff>0</xdr:colOff>
                    <xdr:row>10</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4" tint="0.59999389629810485"/>
  </sheetPr>
  <dimension ref="A1:AG105"/>
  <sheetViews>
    <sheetView zoomScale="70" zoomScaleNormal="70" workbookViewId="0">
      <selection activeCell="F11" sqref="F11"/>
    </sheetView>
  </sheetViews>
  <sheetFormatPr defaultRowHeight="15" x14ac:dyDescent="0.25"/>
  <cols>
    <col min="1" max="1" width="2.28515625" customWidth="1"/>
    <col min="2" max="2" width="21.28515625" style="63" customWidth="1"/>
    <col min="3" max="3" width="13.140625" style="53" customWidth="1"/>
    <col min="4" max="4" width="22.42578125" style="53" customWidth="1"/>
    <col min="5" max="5" width="12.7109375" style="53" customWidth="1"/>
    <col min="6" max="6" width="9.5703125" style="63" customWidth="1"/>
    <col min="7" max="7" width="8.28515625" style="53" customWidth="1"/>
    <col min="8" max="12" width="9" customWidth="1"/>
    <col min="13" max="13" width="11" customWidth="1"/>
    <col min="14" max="14" width="11.7109375" customWidth="1"/>
    <col min="15" max="15" width="13.140625" customWidth="1"/>
    <col min="24" max="24" width="14" customWidth="1"/>
    <col min="26" max="26" width="15.5703125" customWidth="1"/>
    <col min="31" max="31" width="9.42578125" customWidth="1"/>
  </cols>
  <sheetData>
    <row r="1" spans="1:33" ht="15.75" thickBot="1" x14ac:dyDescent="0.3">
      <c r="A1" t="str">
        <f t="array" ref="A1:A46">""</f>
        <v/>
      </c>
      <c r="B1" s="63" t="str">
        <f t="array" ref="B1:Z1">""</f>
        <v/>
      </c>
      <c r="C1" s="53" t="str">
        <v/>
      </c>
      <c r="D1" s="53" t="str">
        <v/>
      </c>
      <c r="E1" s="53" t="str">
        <v/>
      </c>
      <c r="F1" s="63" t="str">
        <v/>
      </c>
      <c r="G1" s="91" t="str">
        <v/>
      </c>
      <c r="H1" t="str">
        <v/>
      </c>
      <c r="I1" t="str">
        <v/>
      </c>
      <c r="J1" t="str">
        <v/>
      </c>
      <c r="K1" t="str">
        <v/>
      </c>
      <c r="L1" t="str">
        <v/>
      </c>
      <c r="M1" t="str">
        <v/>
      </c>
      <c r="N1" s="2" t="str">
        <v/>
      </c>
      <c r="O1" s="2" t="str">
        <v/>
      </c>
      <c r="P1" s="2" t="str">
        <v/>
      </c>
      <c r="Q1" s="2" t="str">
        <v/>
      </c>
      <c r="R1" s="2" t="str">
        <v/>
      </c>
      <c r="S1" s="2" t="str">
        <v/>
      </c>
      <c r="T1" s="2" t="str">
        <v/>
      </c>
      <c r="U1" s="2" t="str">
        <v/>
      </c>
      <c r="V1" s="2" t="str">
        <v/>
      </c>
      <c r="W1" s="2" t="str">
        <v/>
      </c>
      <c r="X1" s="2" t="str">
        <v/>
      </c>
      <c r="Y1" s="2" t="str">
        <v/>
      </c>
      <c r="Z1" s="2" t="str">
        <v/>
      </c>
      <c r="AA1" t="str">
        <f t="array" ref="AA1:AA47">""</f>
        <v/>
      </c>
    </row>
    <row r="2" spans="1:33" ht="16.5" thickTop="1" thickBot="1" x14ac:dyDescent="0.3">
      <c r="A2" t="str">
        <v/>
      </c>
      <c r="G2" s="91"/>
      <c r="N2" s="13" t="s">
        <v>36</v>
      </c>
      <c r="O2" s="80">
        <v>0.6</v>
      </c>
      <c r="P2" s="5"/>
      <c r="Q2" s="2"/>
      <c r="R2" s="2"/>
      <c r="S2" s="2"/>
      <c r="T2" s="2"/>
      <c r="U2" s="2"/>
      <c r="V2" s="2"/>
      <c r="W2" s="2"/>
      <c r="X2" s="2"/>
      <c r="Y2" s="2"/>
      <c r="Z2" s="2"/>
      <c r="AA2" t="str">
        <v/>
      </c>
    </row>
    <row r="3" spans="1:33" ht="16.5" thickTop="1" thickBot="1" x14ac:dyDescent="0.3">
      <c r="A3" t="str">
        <v/>
      </c>
      <c r="G3" s="91"/>
      <c r="N3" s="2"/>
      <c r="O3" s="2"/>
      <c r="P3" s="2"/>
      <c r="Q3" s="2"/>
      <c r="R3" s="2"/>
      <c r="S3" s="2"/>
      <c r="T3" s="2"/>
      <c r="U3" s="2"/>
      <c r="V3" s="2"/>
      <c r="W3" s="2"/>
      <c r="X3" s="2"/>
      <c r="Y3" s="2"/>
      <c r="Z3" s="2"/>
      <c r="AA3" t="str">
        <v/>
      </c>
      <c r="AC3" s="62"/>
      <c r="AD3" s="3"/>
      <c r="AG3" s="55"/>
    </row>
    <row r="4" spans="1:33" ht="19.5" thickTop="1" thickBot="1" x14ac:dyDescent="0.35">
      <c r="A4" t="str">
        <v/>
      </c>
      <c r="B4" s="64"/>
      <c r="C4" s="91"/>
      <c r="F4" s="65"/>
      <c r="G4" s="91"/>
      <c r="N4" s="13" t="s">
        <v>29</v>
      </c>
      <c r="O4" s="81">
        <v>4190000</v>
      </c>
      <c r="P4" s="50" t="s">
        <v>31</v>
      </c>
      <c r="Q4" s="49"/>
      <c r="R4" s="2"/>
      <c r="S4" s="2"/>
      <c r="T4" s="2"/>
      <c r="U4" s="2"/>
      <c r="V4" s="2"/>
      <c r="W4" s="2"/>
      <c r="X4" s="2"/>
      <c r="Y4" s="2"/>
      <c r="Z4" s="2"/>
      <c r="AA4" t="str">
        <v/>
      </c>
      <c r="AC4" s="75"/>
      <c r="AD4" s="76"/>
      <c r="AE4" s="76"/>
      <c r="AF4" s="76"/>
      <c r="AG4" s="76"/>
    </row>
    <row r="5" spans="1:33" ht="16.5" thickTop="1" thickBot="1" x14ac:dyDescent="0.3">
      <c r="A5" t="str">
        <v/>
      </c>
      <c r="B5" s="64"/>
      <c r="C5" s="91"/>
      <c r="F5" s="65"/>
      <c r="G5" s="91"/>
      <c r="N5" s="2"/>
      <c r="O5" s="2"/>
      <c r="P5" s="2"/>
      <c r="Q5" s="2"/>
      <c r="R5" s="2"/>
      <c r="S5" s="2"/>
      <c r="T5" s="2"/>
      <c r="U5" s="2"/>
      <c r="V5" s="2"/>
      <c r="W5" s="2"/>
      <c r="X5" s="2"/>
      <c r="Y5" s="2"/>
      <c r="Z5" s="2"/>
      <c r="AA5" t="str">
        <v/>
      </c>
    </row>
    <row r="6" spans="1:33" ht="19.5" thickTop="1" thickBot="1" x14ac:dyDescent="0.35">
      <c r="A6" t="str">
        <v/>
      </c>
      <c r="B6" s="64"/>
      <c r="C6" s="91"/>
      <c r="F6" s="65"/>
      <c r="G6" s="91"/>
      <c r="N6" s="13" t="s">
        <v>30</v>
      </c>
      <c r="O6" s="81">
        <v>2000000</v>
      </c>
      <c r="P6" s="50" t="s">
        <v>31</v>
      </c>
      <c r="Q6" s="2"/>
      <c r="R6" s="2"/>
      <c r="S6" s="2"/>
      <c r="T6" s="2"/>
      <c r="U6" s="2"/>
      <c r="V6" s="2"/>
      <c r="W6" s="2"/>
      <c r="X6" s="2"/>
      <c r="Y6" s="2"/>
      <c r="Z6" s="2"/>
      <c r="AA6" t="str">
        <v/>
      </c>
    </row>
    <row r="7" spans="1:33" ht="16.5" thickTop="1" thickBot="1" x14ac:dyDescent="0.3">
      <c r="A7" t="str">
        <v/>
      </c>
      <c r="B7" s="64"/>
      <c r="C7" s="91"/>
      <c r="F7" s="65"/>
      <c r="G7" s="91"/>
      <c r="N7" s="2"/>
      <c r="O7" s="2"/>
      <c r="P7" s="2"/>
      <c r="Q7" s="2"/>
      <c r="R7" s="2"/>
      <c r="S7" s="2"/>
      <c r="T7" s="98"/>
      <c r="U7" s="2"/>
      <c r="V7" s="2"/>
      <c r="W7" s="2"/>
      <c r="X7" s="2"/>
      <c r="Y7" s="2"/>
      <c r="Z7" s="2"/>
      <c r="AA7" t="str">
        <v/>
      </c>
    </row>
    <row r="8" spans="1:33" ht="16.5" thickTop="1" thickBot="1" x14ac:dyDescent="0.3">
      <c r="A8" t="str">
        <v/>
      </c>
      <c r="B8" s="64"/>
      <c r="C8" s="91"/>
      <c r="F8" s="65"/>
      <c r="G8" s="91"/>
      <c r="N8" s="13" t="s">
        <v>35</v>
      </c>
      <c r="O8" s="81">
        <v>1E-3</v>
      </c>
      <c r="P8" s="50" t="s">
        <v>15</v>
      </c>
      <c r="Q8" s="2"/>
      <c r="R8" s="2"/>
      <c r="S8" s="2"/>
      <c r="T8" s="98"/>
      <c r="U8" s="2"/>
      <c r="V8" s="2"/>
      <c r="W8" s="2"/>
      <c r="X8" s="2"/>
      <c r="Y8" s="2"/>
      <c r="Z8" s="2"/>
      <c r="AA8" t="str">
        <v/>
      </c>
    </row>
    <row r="9" spans="1:33" ht="15.75" thickTop="1" x14ac:dyDescent="0.25">
      <c r="A9" t="str">
        <v/>
      </c>
      <c r="B9" s="64"/>
      <c r="C9" s="91"/>
      <c r="F9" s="65"/>
      <c r="G9" s="91"/>
      <c r="N9" s="2"/>
      <c r="O9" s="2"/>
      <c r="P9" s="2"/>
      <c r="Q9" s="2"/>
      <c r="R9" s="2"/>
      <c r="S9" s="2"/>
      <c r="T9" s="2"/>
      <c r="U9" s="2"/>
      <c r="V9" s="2"/>
      <c r="W9" s="2"/>
      <c r="X9" s="2"/>
      <c r="Y9" s="2"/>
      <c r="Z9" s="2"/>
      <c r="AA9" t="str">
        <v/>
      </c>
    </row>
    <row r="10" spans="1:33" x14ac:dyDescent="0.25">
      <c r="A10" t="str">
        <v/>
      </c>
      <c r="B10" s="70"/>
      <c r="C10" s="71"/>
      <c r="D10" s="87"/>
      <c r="E10" s="87"/>
      <c r="F10" s="72"/>
      <c r="G10" s="71"/>
      <c r="N10" s="2"/>
      <c r="O10" s="2"/>
      <c r="P10" s="2"/>
      <c r="Q10" s="2"/>
      <c r="R10" s="2"/>
      <c r="S10" s="2"/>
      <c r="T10" s="2"/>
      <c r="U10" s="152" t="str">
        <f>IF(X12&gt;0,"Upward Flow","")</f>
        <v>Upward Flow</v>
      </c>
      <c r="V10" s="153"/>
      <c r="W10" s="2"/>
      <c r="X10" s="2"/>
      <c r="Y10" s="2"/>
      <c r="Z10" s="2"/>
      <c r="AA10" t="str">
        <v/>
      </c>
    </row>
    <row r="11" spans="1:33" ht="15.75" thickBot="1" x14ac:dyDescent="0.3">
      <c r="A11" t="str">
        <v/>
      </c>
      <c r="B11" s="88"/>
      <c r="C11" s="91"/>
      <c r="D11" s="79"/>
      <c r="F11" s="103">
        <v>1</v>
      </c>
      <c r="G11" s="91"/>
      <c r="N11" s="2"/>
      <c r="O11" s="2"/>
      <c r="P11" s="2"/>
      <c r="Q11" s="2"/>
      <c r="R11" s="2"/>
      <c r="S11" s="2"/>
      <c r="T11" s="2"/>
      <c r="U11" s="2"/>
      <c r="V11" s="2"/>
      <c r="W11" s="2"/>
      <c r="X11" s="2"/>
      <c r="Y11" s="2"/>
      <c r="Z11" s="2"/>
      <c r="AA11" t="str">
        <v/>
      </c>
    </row>
    <row r="12" spans="1:33" ht="16.5" thickTop="1" thickBot="1" x14ac:dyDescent="0.3">
      <c r="A12" t="str">
        <v/>
      </c>
      <c r="B12" s="7" t="s">
        <v>0</v>
      </c>
      <c r="C12" s="92"/>
      <c r="D12" s="154" t="s">
        <v>17</v>
      </c>
      <c r="E12" s="155"/>
      <c r="F12" s="8" t="s">
        <v>1</v>
      </c>
      <c r="G12" s="8" t="s">
        <v>2</v>
      </c>
      <c r="H12" s="8" t="s">
        <v>1</v>
      </c>
      <c r="I12" s="8" t="s">
        <v>2</v>
      </c>
      <c r="N12" s="2"/>
      <c r="O12" s="2"/>
      <c r="P12" s="2"/>
      <c r="Q12" s="2"/>
      <c r="R12" s="2"/>
      <c r="S12" s="2"/>
      <c r="T12" s="2"/>
      <c r="U12" s="2"/>
      <c r="V12" s="2"/>
      <c r="W12" s="11" t="s">
        <v>3</v>
      </c>
      <c r="X12" s="132">
        <v>4.9354353561433664</v>
      </c>
      <c r="Y12" s="50" t="s">
        <v>50</v>
      </c>
      <c r="Z12" s="2"/>
      <c r="AA12" t="str">
        <v/>
      </c>
    </row>
    <row r="13" spans="1:33" ht="15.75" thickBot="1" x14ac:dyDescent="0.3">
      <c r="A13" t="str">
        <v/>
      </c>
      <c r="B13" s="68" t="s">
        <v>4</v>
      </c>
      <c r="C13" s="66" t="s">
        <v>5</v>
      </c>
      <c r="D13" s="69" t="s">
        <v>4</v>
      </c>
      <c r="E13" s="67" t="s">
        <v>18</v>
      </c>
      <c r="F13" s="77">
        <f>RSQ(F15:F$39,C15:C$39)</f>
        <v>0.985681376516926</v>
      </c>
      <c r="G13" s="89">
        <f>SUM(G15:G$39)</f>
        <v>0.88102811035572759</v>
      </c>
      <c r="H13" s="9">
        <f>RSQ(H15:H$39,E15:E$39)</f>
        <v>0.9890507181642656</v>
      </c>
      <c r="I13" s="10">
        <f>SUM(I15:I$39)</f>
        <v>5.8006667342930624E-3</v>
      </c>
      <c r="N13" s="13" t="s">
        <v>12</v>
      </c>
      <c r="O13" s="2"/>
      <c r="P13" s="13" t="s">
        <v>5</v>
      </c>
      <c r="Q13" s="2"/>
      <c r="R13" s="2"/>
      <c r="S13" s="2"/>
      <c r="T13" s="2"/>
      <c r="U13" s="2"/>
      <c r="V13" s="2"/>
      <c r="W13" s="11"/>
      <c r="X13" s="12"/>
      <c r="Y13" s="13"/>
      <c r="Z13" s="2"/>
      <c r="AA13" t="str">
        <v/>
      </c>
    </row>
    <row r="14" spans="1:33" ht="18" thickBot="1" x14ac:dyDescent="0.3">
      <c r="A14" t="str">
        <v/>
      </c>
      <c r="B14" s="68" t="s">
        <v>6</v>
      </c>
      <c r="C14" s="66" t="s">
        <v>48</v>
      </c>
      <c r="D14" s="69" t="s">
        <v>6</v>
      </c>
      <c r="E14" s="67" t="s">
        <v>48</v>
      </c>
      <c r="F14" s="14" t="s">
        <v>7</v>
      </c>
      <c r="G14" s="14" t="s">
        <v>8</v>
      </c>
      <c r="H14" s="29" t="s">
        <v>7</v>
      </c>
      <c r="I14" s="29" t="s">
        <v>8</v>
      </c>
      <c r="J14" s="15" t="s">
        <v>9</v>
      </c>
      <c r="K14" s="15" t="s">
        <v>10</v>
      </c>
      <c r="L14" s="16" t="s">
        <v>11</v>
      </c>
      <c r="M14" s="9"/>
      <c r="N14" s="51" t="s">
        <v>13</v>
      </c>
      <c r="O14" s="20"/>
      <c r="P14" s="20"/>
      <c r="Q14" s="20"/>
      <c r="R14" s="20"/>
      <c r="S14" s="20"/>
      <c r="T14" s="20"/>
      <c r="U14" s="20"/>
      <c r="V14" s="20"/>
      <c r="W14" s="28"/>
      <c r="X14" s="82"/>
      <c r="Y14" s="52"/>
      <c r="Z14" s="20"/>
      <c r="AA14" t="str">
        <v/>
      </c>
    </row>
    <row r="15" spans="1:33" x14ac:dyDescent="0.25">
      <c r="A15" t="str">
        <v/>
      </c>
      <c r="B15" s="119">
        <v>41450</v>
      </c>
      <c r="C15" s="93">
        <v>21.25</v>
      </c>
      <c r="D15" s="119">
        <v>41450</v>
      </c>
      <c r="E15" s="93">
        <v>15.76</v>
      </c>
      <c r="F15" s="90">
        <f>$L$15+$J$15*COS(2*PI()*(B15-$F$11))+$K$15*SIN(2*PI()*(B15-$F$11))+$J$16*COS(2*2*PI()*(B15-$F$11))+$K$16*SIN(2*2*PI()*(B15-$F$11))+$J$17*COS(3*2*PI()*(B15-$F$11))+$K$17*SIN(3*2*PI()*(B15-$F$11))+$J$18*COS(4*2*PI()*(B15-$F$11))+$K$18*SIN(4*2*PI()*(B15-$F$11))</f>
        <v>21.59898772644366</v>
      </c>
      <c r="G15" s="90">
        <f>(C15-F15)^2</f>
        <v>0.1217924332083149</v>
      </c>
      <c r="H15" s="18">
        <f>$L$20+$J$20*COS(2*PI()*(D15-$F$11))+$K$20*SIN(2*PI()*(D15-$F$11))+$J$21*COS(2*2*PI()*(D15-$F$11))+$K$21*SIN(2*2*PI()*(D15-$F$11))+$J$22*COS(3*2*PI()*(D15-$F$11))+$K$22*SIN(3*2*PI()*(D15-$F$11))+$J$23*COS(4*2*PI()*(D15-$F$11))+$K$23*SIN(4*2*PI()*(D15-$F$11))</f>
        <v>15.778278012020154</v>
      </c>
      <c r="I15" s="18">
        <f>(E15-H15)^2</f>
        <v>3.340857234089022E-4</v>
      </c>
      <c r="J15" s="19">
        <v>-1.5274857218247402</v>
      </c>
      <c r="K15" s="19">
        <v>-1.4601843870543425</v>
      </c>
      <c r="L15" s="19">
        <v>22.532124026977499</v>
      </c>
      <c r="M15" s="9"/>
      <c r="N15" s="20"/>
      <c r="O15" s="20"/>
      <c r="P15" s="20"/>
      <c r="Q15" s="20"/>
      <c r="R15" s="20"/>
      <c r="S15" s="20"/>
      <c r="T15" s="20"/>
      <c r="U15" s="20"/>
      <c r="V15" s="20"/>
      <c r="W15" s="20"/>
      <c r="X15" s="20"/>
      <c r="Y15" s="20"/>
      <c r="Z15" s="20"/>
      <c r="AA15" t="str">
        <v/>
      </c>
    </row>
    <row r="16" spans="1:33" x14ac:dyDescent="0.25">
      <c r="A16" t="str">
        <v/>
      </c>
      <c r="B16" s="119">
        <v>41450.041666666664</v>
      </c>
      <c r="C16" s="93">
        <v>20.93</v>
      </c>
      <c r="D16" s="119">
        <v>41450.041666666664</v>
      </c>
      <c r="E16" s="93">
        <v>15.76</v>
      </c>
      <c r="F16" s="90">
        <f t="shared" ref="F16:F39" si="0">$L$15+$J$15*COS(2*PI()*(B16-$F$11))+$K$15*SIN(2*PI()*(B16-$F$11))+$J$16*COS(2*2*PI()*(B16-$F$11))+$K$16*SIN(2*2*PI()*(B16-$F$11))+$J$17*COS(3*2*PI()*(B16-$F$11))+$K$17*SIN(3*2*PI()*(B16-$F$11))+$J$18*COS(4*2*PI()*(B16-$F$11))+$K$18*SIN(4*2*PI()*(B16-$F$11))</f>
        <v>20.96639464296744</v>
      </c>
      <c r="G16" s="90">
        <f t="shared" ref="G16:G39" si="1">(C16-F16)^2</f>
        <v>1.324570036727478E-3</v>
      </c>
      <c r="H16" s="18">
        <f t="shared" ref="H16:H39" si="2">$L$20+$J$20*COS(2*PI()*(D16-$F$11))+$K$20*SIN(2*PI()*(D16-$F$11))+$J$21*COS(2*2*PI()*(D16-$F$11))+$K$21*SIN(2*2*PI()*(D16-$F$11))+$J$22*COS(3*2*PI()*(D16-$F$11))+$K$22*SIN(3*2*PI()*(D16-$F$11))+$J$23*COS(4*2*PI()*(D16-$F$11))+$K$23*SIN(4*2*PI()*(D16-$F$11))</f>
        <v>15.745150862542541</v>
      </c>
      <c r="I16" s="18">
        <f t="shared" ref="I16:I39" si="3">(E16-H16)^2</f>
        <v>2.204968832305012E-4</v>
      </c>
      <c r="J16" s="19">
        <v>0.65360736923072504</v>
      </c>
      <c r="K16" s="19">
        <v>0.1063776638493663</v>
      </c>
      <c r="L16" s="19"/>
      <c r="M16" s="9"/>
      <c r="N16" s="20"/>
      <c r="O16" s="20"/>
      <c r="P16" s="20"/>
      <c r="Q16" s="20"/>
      <c r="R16" s="20"/>
      <c r="S16" s="20"/>
      <c r="T16" s="20"/>
      <c r="U16" s="20"/>
      <c r="V16" s="20"/>
      <c r="W16" s="20"/>
      <c r="X16" s="20"/>
      <c r="Y16" s="20"/>
      <c r="Z16" s="20"/>
      <c r="AA16" t="str">
        <v/>
      </c>
      <c r="AE16" s="17"/>
    </row>
    <row r="17" spans="1:31" x14ac:dyDescent="0.25">
      <c r="A17" t="str">
        <v/>
      </c>
      <c r="B17" s="119">
        <v>41450.083333333336</v>
      </c>
      <c r="C17" s="93">
        <v>20.62</v>
      </c>
      <c r="D17" s="119">
        <v>41450.083333333336</v>
      </c>
      <c r="E17" s="93">
        <v>15.7</v>
      </c>
      <c r="F17" s="90">
        <f t="shared" si="0"/>
        <v>20.582643728998889</v>
      </c>
      <c r="G17" s="90">
        <f t="shared" si="1"/>
        <v>1.3954909831085335E-3</v>
      </c>
      <c r="H17" s="18">
        <f t="shared" si="2"/>
        <v>15.710468966851217</v>
      </c>
      <c r="I17" s="18">
        <f t="shared" si="3"/>
        <v>1.0959926693188524E-4</v>
      </c>
      <c r="J17" s="19">
        <v>-6.0598056592288764E-2</v>
      </c>
      <c r="K17" s="19">
        <v>-8.6679822900757403E-2</v>
      </c>
      <c r="L17" s="19"/>
      <c r="M17" s="9"/>
      <c r="N17" s="20"/>
      <c r="O17" s="99"/>
      <c r="P17" s="100"/>
      <c r="Q17" s="20"/>
      <c r="R17" s="20"/>
      <c r="S17" s="20"/>
      <c r="T17" s="20"/>
      <c r="U17" s="20"/>
      <c r="V17" s="20"/>
      <c r="W17" s="20"/>
      <c r="X17" s="20"/>
      <c r="Y17" s="20"/>
      <c r="Z17" s="20"/>
      <c r="AA17" t="str">
        <v/>
      </c>
      <c r="AE17" s="17"/>
    </row>
    <row r="18" spans="1:31" x14ac:dyDescent="0.25">
      <c r="A18" t="str">
        <v/>
      </c>
      <c r="B18" s="119">
        <v>41450.125</v>
      </c>
      <c r="C18" s="93">
        <v>20.5</v>
      </c>
      <c r="D18" s="119">
        <v>41450.125</v>
      </c>
      <c r="E18" s="93">
        <v>15.7</v>
      </c>
      <c r="F18" s="90">
        <f t="shared" si="0"/>
        <v>20.506117194451772</v>
      </c>
      <c r="G18" s="90">
        <f t="shared" si="1"/>
        <v>3.7420067960786756E-5</v>
      </c>
      <c r="H18" s="18">
        <f t="shared" si="2"/>
        <v>15.677288846104604</v>
      </c>
      <c r="I18" s="18">
        <f t="shared" si="3"/>
        <v>5.1579651126032651E-4</v>
      </c>
      <c r="J18" s="19">
        <v>1.3401086112107743E-3</v>
      </c>
      <c r="K18" s="19">
        <v>-0.26341748306371504</v>
      </c>
      <c r="L18" s="19"/>
      <c r="M18" s="9"/>
      <c r="N18" s="20"/>
      <c r="O18" s="20"/>
      <c r="P18" s="20"/>
      <c r="Q18" s="20"/>
      <c r="R18" s="20"/>
      <c r="S18" s="20"/>
      <c r="T18" s="20"/>
      <c r="U18" s="20"/>
      <c r="V18" s="20"/>
      <c r="W18" s="20"/>
      <c r="X18" s="20"/>
      <c r="Y18" s="20"/>
      <c r="Z18" s="20"/>
      <c r="AA18" t="str">
        <v/>
      </c>
      <c r="AE18" s="17"/>
    </row>
    <row r="19" spans="1:31" x14ac:dyDescent="0.25">
      <c r="A19" t="str">
        <v/>
      </c>
      <c r="B19" s="119">
        <v>41450.166666666664</v>
      </c>
      <c r="C19" s="93">
        <v>20.5</v>
      </c>
      <c r="D19" s="119">
        <v>41450.166666666664</v>
      </c>
      <c r="E19" s="93">
        <v>15.64</v>
      </c>
      <c r="F19" s="90">
        <f t="shared" si="0"/>
        <v>20.557200701755189</v>
      </c>
      <c r="G19" s="90">
        <f t="shared" si="1"/>
        <v>3.2719202812860806E-3</v>
      </c>
      <c r="H19" s="18">
        <f t="shared" si="2"/>
        <v>15.641602333564601</v>
      </c>
      <c r="I19" s="18">
        <f t="shared" si="3"/>
        <v>2.5674728522438855E-6</v>
      </c>
      <c r="J19" s="30" t="s">
        <v>9</v>
      </c>
      <c r="K19" s="30" t="s">
        <v>10</v>
      </c>
      <c r="L19" s="31" t="s">
        <v>11</v>
      </c>
      <c r="M19" s="9"/>
      <c r="N19" s="20"/>
      <c r="O19" s="20"/>
      <c r="P19" s="20"/>
      <c r="Q19" s="20"/>
      <c r="R19" s="20"/>
      <c r="S19" s="20"/>
      <c r="T19" s="20"/>
      <c r="U19" s="147" t="str">
        <f>IF(X12&lt;0,"Downward Flow","")</f>
        <v/>
      </c>
      <c r="V19" s="148"/>
      <c r="W19" s="20"/>
      <c r="X19" s="20"/>
      <c r="Y19" s="20"/>
      <c r="Z19" s="20"/>
      <c r="AA19" t="str">
        <v/>
      </c>
      <c r="AE19" s="17"/>
    </row>
    <row r="20" spans="1:31" x14ac:dyDescent="0.25">
      <c r="A20" t="str">
        <v/>
      </c>
      <c r="B20" s="119">
        <v>41450.208333333336</v>
      </c>
      <c r="C20" s="93">
        <v>20.56</v>
      </c>
      <c r="D20" s="119">
        <v>41450.208333333336</v>
      </c>
      <c r="E20" s="93">
        <v>15.57</v>
      </c>
      <c r="F20" s="90">
        <f t="shared" si="0"/>
        <v>20.546437540265057</v>
      </c>
      <c r="G20" s="90">
        <f t="shared" si="1"/>
        <v>1.8394031406192214E-4</v>
      </c>
      <c r="H20" s="18">
        <f t="shared" si="2"/>
        <v>15.598947605518719</v>
      </c>
      <c r="I20" s="18">
        <f t="shared" si="3"/>
        <v>8.3796386526733212E-4</v>
      </c>
      <c r="J20" s="19">
        <v>0.19066488311632923</v>
      </c>
      <c r="K20" s="19">
        <v>-6.4947432894531129E-2</v>
      </c>
      <c r="L20" s="19">
        <v>15.59923841615899</v>
      </c>
      <c r="M20" s="9"/>
      <c r="N20" s="20"/>
      <c r="O20" s="20"/>
      <c r="P20" s="20"/>
      <c r="Q20" s="20"/>
      <c r="R20" s="20"/>
      <c r="S20" s="20"/>
      <c r="T20" s="20"/>
      <c r="U20" s="20"/>
      <c r="V20" s="20"/>
      <c r="W20" s="20"/>
      <c r="X20" s="20"/>
      <c r="Y20" s="20"/>
      <c r="Z20" s="20"/>
      <c r="AA20" t="str">
        <v/>
      </c>
      <c r="AE20" s="17"/>
    </row>
    <row r="21" spans="1:31" x14ac:dyDescent="0.25">
      <c r="A21" t="str">
        <v/>
      </c>
      <c r="B21" s="119">
        <v>41450.25</v>
      </c>
      <c r="C21" s="93">
        <v>20.62</v>
      </c>
      <c r="D21" s="119">
        <v>41450.25</v>
      </c>
      <c r="E21" s="93">
        <v>15.57</v>
      </c>
      <c r="F21" s="90">
        <f t="shared" si="0"/>
        <v>20.506352202202759</v>
      </c>
      <c r="G21" s="90">
        <f t="shared" si="1"/>
        <v>1.2915821944162777E-2</v>
      </c>
      <c r="H21" s="18">
        <f t="shared" si="2"/>
        <v>15.550710936763357</v>
      </c>
      <c r="I21" s="18">
        <f t="shared" si="3"/>
        <v>3.7206796054721811E-4</v>
      </c>
      <c r="J21" s="19">
        <v>-1.8352454541889898E-2</v>
      </c>
      <c r="K21" s="19">
        <v>-6.8218348440739216E-3</v>
      </c>
      <c r="L21" s="19"/>
      <c r="M21" s="21"/>
      <c r="N21" s="20"/>
      <c r="O21" s="20"/>
      <c r="P21" s="104"/>
      <c r="Q21" s="20"/>
      <c r="R21" s="20"/>
      <c r="S21" s="20"/>
      <c r="T21" s="20"/>
      <c r="U21" s="20"/>
      <c r="V21" s="20"/>
      <c r="W21" s="20"/>
      <c r="X21" s="20"/>
      <c r="Y21" s="20"/>
      <c r="Z21" s="20"/>
      <c r="AA21" t="str">
        <v/>
      </c>
      <c r="AE21" s="17"/>
    </row>
    <row r="22" spans="1:31" ht="15.75" thickBot="1" x14ac:dyDescent="0.3">
      <c r="A22" t="str">
        <v/>
      </c>
      <c r="B22" s="119">
        <v>41450.291666666664</v>
      </c>
      <c r="C22" s="93">
        <v>20.68</v>
      </c>
      <c r="D22" s="119">
        <v>41450.291666666664</v>
      </c>
      <c r="E22" s="93">
        <v>15.51</v>
      </c>
      <c r="F22" s="90">
        <f t="shared" si="0"/>
        <v>20.688793610511606</v>
      </c>
      <c r="G22" s="90">
        <f t="shared" si="1"/>
        <v>7.7327585829835123E-5</v>
      </c>
      <c r="H22" s="18">
        <f t="shared" si="2"/>
        <v>15.503747891521167</v>
      </c>
      <c r="I22" s="18">
        <f t="shared" si="3"/>
        <v>3.9088860431094886E-5</v>
      </c>
      <c r="J22" s="19">
        <v>8.2554991054844332E-3</v>
      </c>
      <c r="K22" s="19">
        <v>4.0416922604172479E-4</v>
      </c>
      <c r="L22" s="19"/>
      <c r="M22" s="22"/>
      <c r="N22" s="20"/>
      <c r="O22" s="20"/>
      <c r="P22" s="20"/>
      <c r="Q22" s="20"/>
      <c r="R22" s="20"/>
      <c r="S22" s="20"/>
      <c r="T22" s="20"/>
      <c r="U22" s="20"/>
      <c r="V22" s="20"/>
      <c r="W22" s="20"/>
      <c r="X22" s="20"/>
      <c r="Y22" s="20"/>
      <c r="Z22" s="20"/>
      <c r="AA22" t="str">
        <v/>
      </c>
      <c r="AE22" s="17"/>
    </row>
    <row r="23" spans="1:31" ht="16.5" thickTop="1" thickBot="1" x14ac:dyDescent="0.3">
      <c r="A23" t="str">
        <v/>
      </c>
      <c r="B23" s="119">
        <v>41450.333333333336</v>
      </c>
      <c r="C23" s="93">
        <v>21.06</v>
      </c>
      <c r="D23" s="119">
        <v>41450.333333333336</v>
      </c>
      <c r="E23" s="93">
        <v>15.45</v>
      </c>
      <c r="F23" s="90">
        <f t="shared" si="0"/>
        <v>21.322986327548218</v>
      </c>
      <c r="G23" s="90">
        <f t="shared" si="1"/>
        <v>6.916180847729933E-2</v>
      </c>
      <c r="H23" s="18">
        <f t="shared" si="2"/>
        <v>15.464263031527668</v>
      </c>
      <c r="I23" s="18">
        <f t="shared" si="3"/>
        <v>2.0343406835928151E-4</v>
      </c>
      <c r="J23" s="19">
        <v>-1.5283318208073181E-3</v>
      </c>
      <c r="K23" s="19">
        <v>-8.6609362792758118E-3</v>
      </c>
      <c r="L23" s="19"/>
      <c r="M23" s="23"/>
      <c r="N23" s="20"/>
      <c r="O23" s="20"/>
      <c r="P23" s="20"/>
      <c r="Q23" s="20"/>
      <c r="R23" s="28" t="s">
        <v>14</v>
      </c>
      <c r="S23" s="80">
        <v>0.15</v>
      </c>
      <c r="T23" s="52" t="s">
        <v>15</v>
      </c>
      <c r="U23" s="26"/>
      <c r="V23" s="20"/>
      <c r="W23" s="20"/>
      <c r="X23" s="20"/>
      <c r="Y23" s="20"/>
      <c r="Z23" s="20"/>
      <c r="AA23" t="str">
        <v/>
      </c>
      <c r="AE23" s="17"/>
    </row>
    <row r="24" spans="1:31" ht="15.75" thickTop="1" x14ac:dyDescent="0.25">
      <c r="A24" t="str">
        <v/>
      </c>
      <c r="B24" s="119">
        <v>41450.375</v>
      </c>
      <c r="C24" s="93">
        <v>22.62</v>
      </c>
      <c r="D24" s="119">
        <v>41450.375</v>
      </c>
      <c r="E24" s="93">
        <v>15.45</v>
      </c>
      <c r="F24" s="90">
        <f t="shared" si="0"/>
        <v>22.36785429731027</v>
      </c>
      <c r="G24" s="90">
        <f t="shared" si="1"/>
        <v>6.3577455384898174E-2</v>
      </c>
      <c r="H24" s="18">
        <f t="shared" si="2"/>
        <v>15.432966691020038</v>
      </c>
      <c r="I24" s="18">
        <f t="shared" si="3"/>
        <v>2.9013361480682848E-4</v>
      </c>
      <c r="J24" s="18"/>
      <c r="K24" s="18"/>
      <c r="L24" s="18"/>
      <c r="M24" s="18"/>
      <c r="N24" s="20"/>
      <c r="O24" s="20"/>
      <c r="P24" s="20"/>
      <c r="Q24" s="20"/>
      <c r="R24" s="20"/>
      <c r="S24" s="20"/>
      <c r="T24" s="20"/>
      <c r="U24" s="20"/>
      <c r="V24" s="20"/>
      <c r="W24" s="20"/>
      <c r="X24" s="20"/>
      <c r="Y24" s="20"/>
      <c r="Z24" s="20"/>
      <c r="AA24" t="str">
        <v/>
      </c>
      <c r="AE24" s="17"/>
    </row>
    <row r="25" spans="1:31" x14ac:dyDescent="0.25">
      <c r="A25" t="str">
        <v/>
      </c>
      <c r="B25" s="119">
        <v>41450.416666666664</v>
      </c>
      <c r="C25" s="93">
        <v>23.5</v>
      </c>
      <c r="D25" s="119">
        <v>41450.416666666664</v>
      </c>
      <c r="E25" s="93">
        <v>15.39</v>
      </c>
      <c r="F25" s="90">
        <f t="shared" si="0"/>
        <v>23.500327552670793</v>
      </c>
      <c r="G25" s="90">
        <f t="shared" si="1"/>
        <v>1.0729075214369063E-7</v>
      </c>
      <c r="H25" s="18">
        <f t="shared" si="2"/>
        <v>15.407044648304081</v>
      </c>
      <c r="I25" s="18">
        <f t="shared" si="3"/>
        <v>2.9052003580980868E-4</v>
      </c>
      <c r="J25" s="18"/>
      <c r="K25" s="18"/>
      <c r="L25" s="18"/>
      <c r="M25" s="18"/>
      <c r="N25" s="20"/>
      <c r="O25" s="20"/>
      <c r="P25" s="20"/>
      <c r="Q25" s="20"/>
      <c r="R25" s="20"/>
      <c r="S25" s="20"/>
      <c r="T25" s="20"/>
      <c r="U25" s="20"/>
      <c r="V25" s="27"/>
      <c r="W25" s="20"/>
      <c r="X25" s="20"/>
      <c r="Y25" s="20"/>
      <c r="Z25" s="20"/>
      <c r="AA25" t="str">
        <v/>
      </c>
      <c r="AE25" s="17"/>
    </row>
    <row r="26" spans="1:31" x14ac:dyDescent="0.25">
      <c r="A26" t="str">
        <v/>
      </c>
      <c r="B26" s="119">
        <v>41450.458333333336</v>
      </c>
      <c r="C26" s="93">
        <v>24.31</v>
      </c>
      <c r="D26" s="119">
        <v>41450.458333333336</v>
      </c>
      <c r="E26" s="93">
        <v>15.39</v>
      </c>
      <c r="F26" s="90">
        <f t="shared" si="0"/>
        <v>24.352843852787156</v>
      </c>
      <c r="G26" s="90">
        <f t="shared" si="1"/>
        <v>1.8355957216476444E-3</v>
      </c>
      <c r="H26" s="18">
        <f t="shared" si="2"/>
        <v>15.386962570722817</v>
      </c>
      <c r="I26" s="18">
        <f t="shared" si="3"/>
        <v>9.2259766138916877E-6</v>
      </c>
      <c r="J26" s="18"/>
      <c r="K26" s="18"/>
      <c r="L26" s="18"/>
      <c r="M26" s="18"/>
      <c r="N26" s="20"/>
      <c r="O26" s="20"/>
      <c r="P26" s="20"/>
      <c r="Q26" s="20"/>
      <c r="R26" s="20"/>
      <c r="S26" s="20"/>
      <c r="T26" s="20"/>
      <c r="U26" s="20"/>
      <c r="V26" s="20"/>
      <c r="W26" s="20"/>
      <c r="X26" s="20"/>
      <c r="Y26" s="20"/>
      <c r="Z26" s="20"/>
      <c r="AA26" t="str">
        <v/>
      </c>
      <c r="AE26" s="17"/>
    </row>
    <row r="27" spans="1:31" x14ac:dyDescent="0.25">
      <c r="A27" t="str">
        <v/>
      </c>
      <c r="B27" s="119">
        <v>41450.5</v>
      </c>
      <c r="C27" s="93">
        <v>24.62</v>
      </c>
      <c r="D27" s="119">
        <v>41450.5</v>
      </c>
      <c r="E27" s="93">
        <v>15.39</v>
      </c>
      <c r="F27" s="90">
        <f t="shared" si="0"/>
        <v>24.775155283221096</v>
      </c>
      <c r="G27" s="90">
        <f t="shared" si="1"/>
        <v>2.4073161911418259E-2</v>
      </c>
      <c r="H27" s="18">
        <f t="shared" si="2"/>
        <v>15.380437247574099</v>
      </c>
      <c r="I27" s="18">
        <f t="shared" si="3"/>
        <v>9.144623395909223E-5</v>
      </c>
      <c r="J27" s="18"/>
      <c r="K27" s="18"/>
      <c r="L27" s="18"/>
      <c r="M27" s="18"/>
      <c r="N27" s="20"/>
      <c r="O27" s="20"/>
      <c r="P27" s="20"/>
      <c r="Q27" s="20"/>
      <c r="R27" s="20"/>
      <c r="S27" s="20"/>
      <c r="T27" s="20"/>
      <c r="U27" s="20"/>
      <c r="V27" s="20"/>
      <c r="W27" s="20"/>
      <c r="X27" s="20"/>
      <c r="Y27" s="20"/>
      <c r="Z27" s="20"/>
      <c r="AA27" t="str">
        <v/>
      </c>
      <c r="AE27" s="17"/>
    </row>
    <row r="28" spans="1:31" x14ac:dyDescent="0.25">
      <c r="A28" t="str">
        <v/>
      </c>
      <c r="B28" s="119">
        <v>41450.541666666664</v>
      </c>
      <c r="C28" s="93">
        <v>25.19</v>
      </c>
      <c r="D28" s="119">
        <v>41450.541666666664</v>
      </c>
      <c r="E28" s="93">
        <v>15.39</v>
      </c>
      <c r="F28" s="90">
        <f t="shared" si="0"/>
        <v>24.881399890964847</v>
      </c>
      <c r="G28" s="90">
        <f t="shared" si="1"/>
        <v>9.5234027296509219E-2</v>
      </c>
      <c r="H28" s="18">
        <f t="shared" si="2"/>
        <v>15.398187237726471</v>
      </c>
      <c r="I28" s="18">
        <f t="shared" si="3"/>
        <v>6.7030861589748345E-5</v>
      </c>
      <c r="J28" s="18"/>
      <c r="K28" s="18"/>
      <c r="L28" s="18"/>
      <c r="M28" s="18"/>
      <c r="N28" s="20"/>
      <c r="O28" s="20"/>
      <c r="P28" s="20"/>
      <c r="Q28" s="20"/>
      <c r="R28" s="20"/>
      <c r="S28" s="20"/>
      <c r="T28" s="20"/>
      <c r="U28" s="20"/>
      <c r="V28" s="20"/>
      <c r="W28" s="20"/>
      <c r="X28" s="20"/>
      <c r="Y28" s="20"/>
      <c r="Z28" s="20"/>
      <c r="AA28" t="str">
        <v/>
      </c>
      <c r="AE28" s="17"/>
    </row>
    <row r="29" spans="1:31" ht="15.75" thickBot="1" x14ac:dyDescent="0.3">
      <c r="A29" t="str">
        <v/>
      </c>
      <c r="B29" s="119">
        <v>41450.583333333336</v>
      </c>
      <c r="C29" s="93">
        <v>24.56</v>
      </c>
      <c r="D29" s="119">
        <v>41450.583333333336</v>
      </c>
      <c r="E29" s="93">
        <v>15.45</v>
      </c>
      <c r="F29" s="90">
        <f t="shared" si="0"/>
        <v>24.86187063988541</v>
      </c>
      <c r="G29" s="90">
        <f t="shared" si="1"/>
        <v>9.1125883224827731E-2</v>
      </c>
      <c r="H29" s="18">
        <f t="shared" si="2"/>
        <v>15.444366796516979</v>
      </c>
      <c r="I29" s="18">
        <f t="shared" si="3"/>
        <v>3.1732981481111032E-5</v>
      </c>
      <c r="J29" s="18"/>
      <c r="K29" s="18"/>
      <c r="L29" s="18"/>
      <c r="M29" s="18"/>
      <c r="N29" s="20"/>
      <c r="O29" s="20"/>
      <c r="P29" s="20"/>
      <c r="Q29" s="20"/>
      <c r="R29" s="20"/>
      <c r="S29" s="20"/>
      <c r="T29" s="20"/>
      <c r="U29" s="20"/>
      <c r="V29" s="20"/>
      <c r="W29" s="20"/>
      <c r="X29" s="20"/>
      <c r="Y29" s="20"/>
      <c r="Z29" s="20"/>
      <c r="AA29" t="str">
        <v/>
      </c>
      <c r="AE29" s="17"/>
    </row>
    <row r="30" spans="1:31" ht="15.75" customHeight="1" thickTop="1" thickBot="1" x14ac:dyDescent="0.3">
      <c r="A30" t="str">
        <v/>
      </c>
      <c r="B30" s="119">
        <v>41450.625</v>
      </c>
      <c r="C30" s="93">
        <v>24.87</v>
      </c>
      <c r="D30" s="119">
        <v>41450.625</v>
      </c>
      <c r="E30" s="93">
        <v>15.51</v>
      </c>
      <c r="F30" s="90">
        <f t="shared" si="0"/>
        <v>24.768205969980375</v>
      </c>
      <c r="G30" s="90">
        <f t="shared" si="1"/>
        <v>1.0362024547636486E-2</v>
      </c>
      <c r="H30" s="18">
        <f t="shared" si="2"/>
        <v>15.510600980163405</v>
      </c>
      <c r="I30" s="18">
        <f t="shared" si="3"/>
        <v>3.6117715680634912E-7</v>
      </c>
      <c r="J30" s="18"/>
      <c r="K30" s="18"/>
      <c r="L30" s="18"/>
      <c r="M30" s="18"/>
      <c r="N30" s="20"/>
      <c r="O30" s="20"/>
      <c r="P30" s="20"/>
      <c r="Q30" s="20"/>
      <c r="R30" s="20"/>
      <c r="S30" s="20"/>
      <c r="T30" s="20"/>
      <c r="U30" s="20"/>
      <c r="V30" s="20"/>
      <c r="W30" s="28" t="s">
        <v>16</v>
      </c>
      <c r="X30" s="84">
        <v>1.6657605098318252E-2</v>
      </c>
      <c r="Y30" s="52" t="s">
        <v>32</v>
      </c>
      <c r="Z30" s="20"/>
      <c r="AA30" t="str">
        <v/>
      </c>
      <c r="AE30" s="17"/>
    </row>
    <row r="31" spans="1:31" ht="16.5" thickTop="1" thickBot="1" x14ac:dyDescent="0.3">
      <c r="A31" t="str">
        <v/>
      </c>
      <c r="B31" s="119">
        <v>41450.666666666664</v>
      </c>
      <c r="C31" s="93">
        <v>24.69</v>
      </c>
      <c r="D31" s="119">
        <v>41450.666666666664</v>
      </c>
      <c r="E31" s="93">
        <v>15.57</v>
      </c>
      <c r="F31" s="90">
        <f t="shared" si="0"/>
        <v>24.492603857229309</v>
      </c>
      <c r="G31" s="90">
        <f t="shared" si="1"/>
        <v>3.8965237180747618E-2</v>
      </c>
      <c r="H31" s="18">
        <f t="shared" si="2"/>
        <v>15.579940702244098</v>
      </c>
      <c r="I31" s="18">
        <f t="shared" si="3"/>
        <v>9.8817561105811458E-5</v>
      </c>
      <c r="J31" s="18"/>
      <c r="K31" s="18"/>
      <c r="L31" s="18"/>
      <c r="M31" s="18"/>
      <c r="N31" s="20"/>
      <c r="O31" s="20"/>
      <c r="P31" s="51" t="s">
        <v>18</v>
      </c>
      <c r="Q31" s="20"/>
      <c r="R31" s="20"/>
      <c r="S31" s="20"/>
      <c r="T31" s="20"/>
      <c r="U31" s="20"/>
      <c r="V31" s="20"/>
      <c r="W31" s="20"/>
      <c r="X31" s="20"/>
      <c r="Y31" s="20"/>
      <c r="Z31" s="20"/>
      <c r="AA31" t="str">
        <v/>
      </c>
      <c r="AE31" s="17"/>
    </row>
    <row r="32" spans="1:31" ht="15.75" thickBot="1" x14ac:dyDescent="0.3">
      <c r="A32" t="str">
        <v/>
      </c>
      <c r="B32" s="119">
        <v>41450.708333333336</v>
      </c>
      <c r="C32" s="93">
        <v>23.69</v>
      </c>
      <c r="D32" s="119">
        <v>41450.708333333336</v>
      </c>
      <c r="E32" s="93">
        <v>15.64</v>
      </c>
      <c r="F32" s="90">
        <f t="shared" si="0"/>
        <v>23.949699578722679</v>
      </c>
      <c r="G32" s="90">
        <f t="shared" si="1"/>
        <v>6.7443871188736487E-2</v>
      </c>
      <c r="H32" s="18">
        <f t="shared" si="2"/>
        <v>15.637967625519712</v>
      </c>
      <c r="I32" s="18">
        <f t="shared" si="3"/>
        <v>4.1305460281274143E-6</v>
      </c>
      <c r="J32" s="18"/>
      <c r="K32" s="18"/>
      <c r="L32" s="18"/>
      <c r="M32" s="18"/>
      <c r="N32" s="20"/>
      <c r="O32" s="20"/>
      <c r="P32" s="20"/>
      <c r="Q32" s="20"/>
      <c r="R32" s="20"/>
      <c r="S32" s="20"/>
      <c r="T32" s="20"/>
      <c r="U32" s="20"/>
      <c r="V32" s="20"/>
      <c r="W32" s="28" t="s">
        <v>19</v>
      </c>
      <c r="X32" s="85">
        <v>0.63653366382412357</v>
      </c>
      <c r="Y32" s="52" t="s">
        <v>20</v>
      </c>
      <c r="Z32" s="20"/>
      <c r="AA32" t="str">
        <v/>
      </c>
      <c r="AE32" s="17"/>
    </row>
    <row r="33" spans="1:31" x14ac:dyDescent="0.25">
      <c r="A33" t="str">
        <v/>
      </c>
      <c r="B33" s="119">
        <v>41450.75</v>
      </c>
      <c r="C33" s="93">
        <v>23.31</v>
      </c>
      <c r="D33" s="119">
        <v>41450.75</v>
      </c>
      <c r="E33" s="93">
        <v>15.7</v>
      </c>
      <c r="F33" s="90">
        <f t="shared" si="0"/>
        <v>23.253361330497569</v>
      </c>
      <c r="G33" s="90">
        <f t="shared" si="1"/>
        <v>3.2079388830054834E-3</v>
      </c>
      <c r="H33" s="18">
        <f t="shared" si="2"/>
        <v>15.68141414100185</v>
      </c>
      <c r="I33" s="18">
        <f t="shared" si="3"/>
        <v>3.4543415469907271E-4</v>
      </c>
      <c r="M33" s="18"/>
      <c r="N33" s="20"/>
      <c r="O33" s="20"/>
      <c r="P33" s="20"/>
      <c r="Q33" s="20"/>
      <c r="R33" s="20"/>
      <c r="S33" s="20"/>
      <c r="T33" s="20"/>
      <c r="U33" s="20"/>
      <c r="V33" s="20"/>
      <c r="W33" s="20"/>
      <c r="X33" s="20"/>
      <c r="Y33" s="20"/>
      <c r="Z33" s="20"/>
      <c r="AA33" t="str">
        <v/>
      </c>
      <c r="AE33" s="17"/>
    </row>
    <row r="34" spans="1:31" x14ac:dyDescent="0.25">
      <c r="A34" t="str">
        <v/>
      </c>
      <c r="B34" s="119">
        <v>41450.791666666664</v>
      </c>
      <c r="C34" s="93">
        <v>22.68</v>
      </c>
      <c r="D34" s="119">
        <v>41450.791666666664</v>
      </c>
      <c r="E34" s="93">
        <v>15.7</v>
      </c>
      <c r="F34" s="90">
        <f t="shared" si="0"/>
        <v>22.682083252237554</v>
      </c>
      <c r="G34" s="90">
        <f t="shared" si="1"/>
        <v>4.3399398852747227E-6</v>
      </c>
      <c r="H34" s="18">
        <f t="shared" si="2"/>
        <v>15.716808645853162</v>
      </c>
      <c r="I34" s="18">
        <f t="shared" si="3"/>
        <v>2.8253057541702747E-4</v>
      </c>
      <c r="M34" s="18"/>
      <c r="N34" s="20"/>
      <c r="O34" s="20"/>
      <c r="P34" s="20"/>
      <c r="Q34" s="20"/>
      <c r="R34" s="20"/>
      <c r="S34" s="20"/>
      <c r="T34" s="20"/>
      <c r="U34" s="20"/>
      <c r="V34" s="20"/>
      <c r="W34" s="20"/>
      <c r="X34" s="20"/>
      <c r="Y34" s="20"/>
      <c r="Z34" s="20"/>
      <c r="AA34" t="str">
        <v/>
      </c>
      <c r="AC34" s="22"/>
      <c r="AE34" s="17"/>
    </row>
    <row r="35" spans="1:31" x14ac:dyDescent="0.25">
      <c r="A35" t="str">
        <v/>
      </c>
      <c r="B35" s="119">
        <v>41450.833333333336</v>
      </c>
      <c r="C35" s="93">
        <v>22.56</v>
      </c>
      <c r="D35" s="119">
        <v>41450.833333333336</v>
      </c>
      <c r="E35" s="93">
        <v>15.76</v>
      </c>
      <c r="F35" s="90">
        <f t="shared" si="0"/>
        <v>22.445810265713757</v>
      </c>
      <c r="G35" s="90">
        <f t="shared" si="1"/>
        <v>1.3039295416362581E-2</v>
      </c>
      <c r="H35" s="18">
        <f t="shared" si="2"/>
        <v>15.750909170026317</v>
      </c>
      <c r="I35" s="18">
        <f t="shared" si="3"/>
        <v>8.2643189610416101E-5</v>
      </c>
      <c r="M35" s="164"/>
      <c r="N35" s="165"/>
      <c r="O35" s="99"/>
      <c r="P35" s="100"/>
      <c r="Q35" s="165"/>
      <c r="R35" s="165"/>
      <c r="S35" s="165"/>
      <c r="T35" s="165"/>
      <c r="U35" s="165"/>
      <c r="V35" s="165"/>
      <c r="W35" s="165"/>
      <c r="X35" s="165"/>
      <c r="Y35" s="165"/>
      <c r="Z35" s="165"/>
      <c r="AA35" t="str">
        <v/>
      </c>
      <c r="AC35" s="22"/>
      <c r="AE35" s="17"/>
    </row>
    <row r="36" spans="1:31" x14ac:dyDescent="0.25">
      <c r="A36" t="str">
        <v/>
      </c>
      <c r="B36" s="119">
        <v>41450.875</v>
      </c>
      <c r="C36" s="93">
        <v>22.5</v>
      </c>
      <c r="D36" s="119">
        <v>41450.875</v>
      </c>
      <c r="E36" s="93">
        <v>15.76</v>
      </c>
      <c r="F36" s="90">
        <f t="shared" si="0"/>
        <v>22.48095821162573</v>
      </c>
      <c r="G36" s="90">
        <f t="shared" si="1"/>
        <v>3.6258970449049922E-4</v>
      </c>
      <c r="H36" s="18">
        <f t="shared" si="2"/>
        <v>15.782210474629789</v>
      </c>
      <c r="I36" s="18">
        <f t="shared" si="3"/>
        <v>4.9330518328050479E-4</v>
      </c>
      <c r="M36" s="164"/>
      <c r="N36" s="165"/>
      <c r="O36" s="165"/>
      <c r="P36" s="165"/>
      <c r="Q36" s="165"/>
      <c r="R36" s="165"/>
      <c r="S36" s="165"/>
      <c r="T36" s="165"/>
      <c r="U36" s="165"/>
      <c r="V36" s="165"/>
      <c r="W36" s="165"/>
      <c r="X36" s="165"/>
      <c r="Y36" s="165"/>
      <c r="Z36" s="165"/>
      <c r="AA36" t="str">
        <v/>
      </c>
      <c r="AC36" s="22"/>
      <c r="AE36" s="17"/>
    </row>
    <row r="37" spans="1:31" x14ac:dyDescent="0.25">
      <c r="A37" t="str">
        <v/>
      </c>
      <c r="B37" s="119">
        <v>41450.916666666664</v>
      </c>
      <c r="C37" s="93">
        <v>22.18</v>
      </c>
      <c r="D37" s="119">
        <v>41450.916666666664</v>
      </c>
      <c r="E37" s="93">
        <v>15.82</v>
      </c>
      <c r="F37" s="90">
        <f t="shared" si="0"/>
        <v>22.488188707551878</v>
      </c>
      <c r="G37" s="90">
        <f t="shared" si="1"/>
        <v>9.4980279462496917E-2</v>
      </c>
      <c r="H37" s="18">
        <f t="shared" si="2"/>
        <v>15.801425007520903</v>
      </c>
      <c r="I37" s="18">
        <f t="shared" si="3"/>
        <v>3.4503034559851825E-4</v>
      </c>
      <c r="M37" s="164"/>
      <c r="N37" s="165"/>
      <c r="O37" s="165"/>
      <c r="P37" s="165"/>
      <c r="Q37" s="165"/>
      <c r="R37" s="165"/>
      <c r="S37" s="165"/>
      <c r="T37" s="165"/>
      <c r="U37" s="165"/>
      <c r="V37" s="165"/>
      <c r="W37" s="165"/>
      <c r="X37" s="165"/>
      <c r="Y37" s="165"/>
      <c r="Z37" s="165"/>
      <c r="AA37" t="str">
        <v/>
      </c>
      <c r="AC37" s="22"/>
      <c r="AE37" s="17"/>
    </row>
    <row r="38" spans="1:31" x14ac:dyDescent="0.25">
      <c r="A38" t="str">
        <v/>
      </c>
      <c r="B38" s="119">
        <v>41450.958333333336</v>
      </c>
      <c r="C38" s="93">
        <v>22.5</v>
      </c>
      <c r="D38" s="119">
        <v>41450.958333333336</v>
      </c>
      <c r="E38" s="93">
        <v>15.82</v>
      </c>
      <c r="F38" s="90">
        <f t="shared" si="0"/>
        <v>22.194700281914116</v>
      </c>
      <c r="G38" s="90">
        <f t="shared" si="1"/>
        <v>9.3207917863320153E-2</v>
      </c>
      <c r="H38" s="18">
        <f t="shared" si="2"/>
        <v>15.8000215625857</v>
      </c>
      <c r="I38" s="18">
        <f t="shared" si="3"/>
        <v>3.9913796151711754E-4</v>
      </c>
      <c r="J38" s="32"/>
      <c r="M38" s="164"/>
      <c r="N38" s="165"/>
      <c r="O38" s="165"/>
      <c r="P38" s="165"/>
      <c r="Q38" s="165"/>
      <c r="R38" s="165"/>
      <c r="S38" s="165"/>
      <c r="T38" s="165"/>
      <c r="U38" s="165"/>
      <c r="V38" s="165"/>
      <c r="W38" s="165"/>
      <c r="X38" s="165"/>
      <c r="Y38" s="165"/>
      <c r="Z38" s="165"/>
      <c r="AA38" t="str">
        <v/>
      </c>
      <c r="AC38" s="22"/>
      <c r="AE38" s="17"/>
    </row>
    <row r="39" spans="1:31" x14ac:dyDescent="0.25">
      <c r="A39" t="str">
        <v/>
      </c>
      <c r="B39" s="119">
        <v>41451</v>
      </c>
      <c r="C39" s="121">
        <v>21.87</v>
      </c>
      <c r="D39" s="119">
        <v>41451</v>
      </c>
      <c r="E39" s="121">
        <v>15.76</v>
      </c>
      <c r="F39" s="90">
        <f t="shared" si="0"/>
        <v>21.598987726402953</v>
      </c>
      <c r="G39" s="90">
        <f t="shared" si="1"/>
        <v>7.3447652440241165E-2</v>
      </c>
      <c r="H39" s="18">
        <f t="shared" si="2"/>
        <v>15.778278012018006</v>
      </c>
      <c r="I39" s="18">
        <f t="shared" si="3"/>
        <v>3.3408572333039392E-4</v>
      </c>
      <c r="J39" s="32"/>
      <c r="M39" s="164"/>
      <c r="N39" s="165"/>
      <c r="O39" s="165"/>
      <c r="P39" s="165"/>
      <c r="Q39" s="165"/>
      <c r="R39" s="165"/>
      <c r="S39" s="165"/>
      <c r="T39" s="165"/>
      <c r="U39" s="165"/>
      <c r="V39" s="165"/>
      <c r="W39" s="165"/>
      <c r="X39" s="165"/>
      <c r="Y39" s="165"/>
      <c r="Z39" s="165"/>
      <c r="AA39" t="str">
        <v/>
      </c>
      <c r="AC39" s="22"/>
      <c r="AE39" s="17"/>
    </row>
    <row r="40" spans="1:31" x14ac:dyDescent="0.25">
      <c r="A40" t="str">
        <v/>
      </c>
      <c r="B40" s="36"/>
      <c r="C40"/>
      <c r="D40" s="36"/>
      <c r="E40"/>
      <c r="F40" s="90"/>
      <c r="G40" s="90"/>
      <c r="H40" s="18"/>
      <c r="I40" s="18"/>
      <c r="J40" s="32"/>
      <c r="M40" s="164"/>
      <c r="N40" s="165"/>
      <c r="O40" s="165"/>
      <c r="P40" s="165"/>
      <c r="Q40" s="166"/>
      <c r="R40" s="165"/>
      <c r="S40" s="165"/>
      <c r="T40" s="165"/>
      <c r="U40" s="165"/>
      <c r="V40" s="165"/>
      <c r="W40" s="165"/>
      <c r="X40" s="165"/>
      <c r="Y40" s="165"/>
      <c r="Z40" s="165"/>
      <c r="AA40" t="str">
        <v/>
      </c>
      <c r="AC40" s="22"/>
      <c r="AD40" s="22"/>
    </row>
    <row r="41" spans="1:31" x14ac:dyDescent="0.25">
      <c r="A41" t="str">
        <v/>
      </c>
      <c r="B41" s="36"/>
      <c r="C41"/>
      <c r="D41" s="36"/>
      <c r="E41"/>
      <c r="F41" s="90"/>
      <c r="G41" s="90"/>
      <c r="H41" s="18"/>
      <c r="I41" s="18"/>
      <c r="J41" s="32"/>
      <c r="M41" s="164"/>
      <c r="N41" s="165"/>
      <c r="O41" s="165"/>
      <c r="P41" s="165"/>
      <c r="Q41" s="165"/>
      <c r="R41" s="165"/>
      <c r="S41" s="165"/>
      <c r="T41" s="165"/>
      <c r="U41" s="165"/>
      <c r="V41" s="165"/>
      <c r="W41" s="165"/>
      <c r="X41" s="165"/>
      <c r="Y41" s="165"/>
      <c r="Z41" s="165"/>
      <c r="AA41" t="str">
        <v/>
      </c>
      <c r="AC41" s="22"/>
      <c r="AD41" s="22"/>
    </row>
    <row r="42" spans="1:31" x14ac:dyDescent="0.25">
      <c r="A42" t="str">
        <v/>
      </c>
      <c r="B42" s="36"/>
      <c r="C42"/>
      <c r="D42" s="36"/>
      <c r="E42"/>
      <c r="F42" s="90"/>
      <c r="G42" s="90"/>
      <c r="H42" s="18"/>
      <c r="I42" s="18"/>
      <c r="J42" s="32"/>
      <c r="M42" s="164"/>
      <c r="N42" s="165"/>
      <c r="O42" s="165"/>
      <c r="P42" s="165"/>
      <c r="Q42" s="165"/>
      <c r="R42" s="165"/>
      <c r="S42" s="165"/>
      <c r="T42" s="165"/>
      <c r="U42" s="165"/>
      <c r="V42" s="165"/>
      <c r="W42" s="165"/>
      <c r="X42" s="165"/>
      <c r="Y42" s="165"/>
      <c r="Z42" s="165"/>
      <c r="AA42" t="str">
        <v/>
      </c>
      <c r="AC42" s="22"/>
      <c r="AD42" s="22"/>
    </row>
    <row r="43" spans="1:31" x14ac:dyDescent="0.25">
      <c r="A43" t="str">
        <v/>
      </c>
      <c r="B43" s="36"/>
      <c r="C43"/>
      <c r="D43" s="36"/>
      <c r="E43"/>
      <c r="F43" s="90"/>
      <c r="G43" s="90"/>
      <c r="H43" s="18"/>
      <c r="I43" s="18"/>
      <c r="J43" s="32"/>
      <c r="M43" s="164"/>
      <c r="N43" s="165"/>
      <c r="O43" s="165"/>
      <c r="P43" s="165"/>
      <c r="Q43" s="165"/>
      <c r="R43" s="165"/>
      <c r="S43" s="165"/>
      <c r="T43" s="165"/>
      <c r="U43" s="165"/>
      <c r="V43" s="165"/>
      <c r="W43" s="165"/>
      <c r="X43" s="165"/>
      <c r="Y43" s="165"/>
      <c r="Z43" s="165"/>
      <c r="AA43" t="str">
        <v/>
      </c>
      <c r="AC43" s="22"/>
      <c r="AD43" s="22"/>
    </row>
    <row r="44" spans="1:31" x14ac:dyDescent="0.25">
      <c r="A44" t="str">
        <v/>
      </c>
      <c r="B44" s="36"/>
      <c r="C44"/>
      <c r="D44" s="36"/>
      <c r="E44"/>
      <c r="F44" s="90"/>
      <c r="G44" s="90"/>
      <c r="H44" s="18"/>
      <c r="I44" s="18"/>
      <c r="J44" s="32"/>
      <c r="M44" s="164"/>
      <c r="N44" s="165"/>
      <c r="O44" s="165"/>
      <c r="P44" s="165"/>
      <c r="Q44" s="165"/>
      <c r="R44" s="165"/>
      <c r="S44" s="165"/>
      <c r="T44" s="165"/>
      <c r="U44" s="165"/>
      <c r="V44" s="165"/>
      <c r="W44" s="165"/>
      <c r="X44" s="165"/>
      <c r="Y44" s="165"/>
      <c r="Z44" s="165"/>
      <c r="AA44" t="str">
        <v/>
      </c>
      <c r="AC44" s="22"/>
      <c r="AD44" s="22"/>
    </row>
    <row r="45" spans="1:31" x14ac:dyDescent="0.25">
      <c r="A45" t="str">
        <v/>
      </c>
      <c r="B45" s="36"/>
      <c r="C45"/>
      <c r="D45" s="36"/>
      <c r="E45"/>
      <c r="F45" s="90"/>
      <c r="G45" s="90"/>
      <c r="H45" s="18"/>
      <c r="I45" s="18"/>
      <c r="J45" s="32"/>
      <c r="M45" s="164"/>
      <c r="N45" s="167"/>
      <c r="O45" s="168"/>
      <c r="P45" s="169"/>
      <c r="Q45" s="165"/>
      <c r="R45" s="165"/>
      <c r="S45" s="165"/>
      <c r="T45" s="165"/>
      <c r="U45" s="165"/>
      <c r="V45" s="165"/>
      <c r="W45" s="165"/>
      <c r="X45" s="167"/>
      <c r="Y45" s="168"/>
      <c r="Z45" s="169"/>
      <c r="AA45" t="str">
        <v/>
      </c>
      <c r="AC45" s="22"/>
      <c r="AD45" s="22"/>
    </row>
    <row r="46" spans="1:31" x14ac:dyDescent="0.25">
      <c r="A46" t="str">
        <v/>
      </c>
      <c r="B46" s="36"/>
      <c r="C46"/>
      <c r="D46" s="36"/>
      <c r="E46"/>
      <c r="F46" s="90"/>
      <c r="G46" s="90"/>
      <c r="H46" s="18"/>
      <c r="I46" s="18"/>
      <c r="J46" s="32"/>
      <c r="M46" s="164"/>
      <c r="N46" s="165"/>
      <c r="O46" s="165"/>
      <c r="P46" s="165"/>
      <c r="Q46" s="165"/>
      <c r="R46" s="165"/>
      <c r="S46" s="165"/>
      <c r="T46" s="165"/>
      <c r="U46" s="165"/>
      <c r="V46" s="165"/>
      <c r="W46" s="165"/>
      <c r="X46" s="170" t="s">
        <v>21</v>
      </c>
      <c r="Y46" s="83"/>
      <c r="Z46" s="171" t="s">
        <v>15</v>
      </c>
      <c r="AA46" t="str">
        <v/>
      </c>
      <c r="AC46" s="22"/>
      <c r="AD46" s="22"/>
    </row>
    <row r="47" spans="1:31" x14ac:dyDescent="0.25">
      <c r="B47" s="36"/>
      <c r="C47"/>
      <c r="D47" s="36"/>
      <c r="E47"/>
      <c r="F47" s="90"/>
      <c r="G47" s="90"/>
      <c r="H47" s="18"/>
      <c r="I47" s="18"/>
      <c r="J47" s="32"/>
      <c r="M47" s="164"/>
      <c r="N47" s="172"/>
      <c r="O47" s="172"/>
      <c r="P47" s="172"/>
      <c r="Q47" s="172"/>
      <c r="R47" s="172"/>
      <c r="S47" s="172"/>
      <c r="T47" s="172"/>
      <c r="U47" s="172"/>
      <c r="V47" s="172"/>
      <c r="W47" s="172"/>
      <c r="X47" s="172"/>
      <c r="Y47" s="172"/>
      <c r="Z47" s="172"/>
      <c r="AA47" t="str">
        <v/>
      </c>
      <c r="AC47" s="22"/>
      <c r="AD47" s="22"/>
    </row>
    <row r="48" spans="1:31" x14ac:dyDescent="0.25">
      <c r="B48" s="36"/>
      <c r="C48"/>
      <c r="D48" s="36"/>
      <c r="E48"/>
      <c r="F48" s="90"/>
      <c r="G48" s="90"/>
      <c r="H48" s="18"/>
      <c r="I48" s="18"/>
      <c r="J48" s="36"/>
      <c r="M48" s="173"/>
      <c r="N48" s="173"/>
      <c r="O48" s="173"/>
      <c r="P48" s="173"/>
      <c r="Q48" s="173"/>
      <c r="R48" s="173"/>
      <c r="S48" s="173"/>
      <c r="T48" s="173"/>
      <c r="U48" s="173"/>
      <c r="V48" s="173"/>
      <c r="W48" s="173"/>
      <c r="X48" s="173"/>
      <c r="Y48" s="173"/>
      <c r="Z48" s="173"/>
      <c r="AC48" s="22"/>
      <c r="AD48" s="22"/>
    </row>
    <row r="49" spans="2:30" x14ac:dyDescent="0.25">
      <c r="B49" s="36"/>
      <c r="C49"/>
      <c r="D49" s="36"/>
      <c r="E49"/>
      <c r="F49" s="90"/>
      <c r="G49" s="90"/>
      <c r="H49" s="18"/>
      <c r="I49" s="18"/>
      <c r="J49" s="36"/>
      <c r="M49" s="173"/>
      <c r="N49" s="173"/>
      <c r="O49" s="173"/>
      <c r="P49" s="173"/>
      <c r="Q49" s="173"/>
      <c r="R49" s="173"/>
      <c r="S49" s="173"/>
      <c r="T49" s="173"/>
      <c r="U49" s="173"/>
      <c r="V49" s="173"/>
      <c r="W49" s="173"/>
      <c r="X49" s="173"/>
      <c r="Y49" s="173"/>
      <c r="Z49" s="173"/>
      <c r="AC49" s="22"/>
      <c r="AD49" s="22"/>
    </row>
    <row r="50" spans="2:30" x14ac:dyDescent="0.25">
      <c r="B50" s="36"/>
      <c r="C50"/>
      <c r="D50" s="36"/>
      <c r="E50"/>
      <c r="F50" s="90"/>
      <c r="G50" s="90"/>
      <c r="H50" s="18"/>
      <c r="I50" s="18"/>
      <c r="J50" s="36"/>
      <c r="M50" s="173"/>
      <c r="N50" s="173"/>
      <c r="O50" s="173"/>
      <c r="P50" s="173"/>
      <c r="Q50" s="173"/>
      <c r="R50" s="173"/>
      <c r="S50" s="173"/>
      <c r="T50" s="173"/>
      <c r="U50" s="173"/>
      <c r="V50" s="173"/>
      <c r="W50" s="173"/>
      <c r="X50" s="173"/>
      <c r="Y50" s="173"/>
      <c r="Z50" s="173"/>
      <c r="AC50" s="22"/>
      <c r="AD50" s="22"/>
    </row>
    <row r="51" spans="2:30" x14ac:dyDescent="0.25">
      <c r="B51" s="36"/>
      <c r="C51"/>
      <c r="D51" s="36"/>
      <c r="E51"/>
      <c r="F51" s="90"/>
      <c r="G51" s="90"/>
      <c r="H51" s="18"/>
      <c r="I51" s="18"/>
      <c r="J51" s="36"/>
      <c r="M51" s="173"/>
      <c r="N51" s="173"/>
      <c r="O51" s="173"/>
      <c r="P51" s="173"/>
      <c r="Q51" s="173"/>
      <c r="R51" s="173"/>
      <c r="S51" s="173"/>
      <c r="T51" s="173"/>
      <c r="U51" s="173"/>
      <c r="V51" s="173"/>
      <c r="W51" s="173"/>
      <c r="X51" s="173"/>
      <c r="Y51" s="173"/>
      <c r="Z51" s="173"/>
      <c r="AC51" s="22"/>
      <c r="AD51" s="22"/>
    </row>
    <row r="52" spans="2:30" x14ac:dyDescent="0.25">
      <c r="B52" s="36"/>
      <c r="C52"/>
      <c r="D52" s="36"/>
      <c r="E52"/>
      <c r="F52" s="90"/>
      <c r="G52" s="90"/>
      <c r="H52" s="18"/>
      <c r="I52" s="18"/>
      <c r="J52" s="36"/>
      <c r="M52" s="173"/>
      <c r="N52" s="173"/>
      <c r="O52" s="173"/>
      <c r="P52" s="173"/>
      <c r="Q52" s="173"/>
      <c r="R52" s="173"/>
      <c r="S52" s="173"/>
      <c r="T52" s="173"/>
      <c r="U52" s="173"/>
      <c r="V52" s="173"/>
      <c r="W52" s="173"/>
      <c r="X52" s="173"/>
      <c r="Y52" s="173"/>
      <c r="Z52" s="173"/>
      <c r="AC52" s="22"/>
      <c r="AD52" s="22"/>
    </row>
    <row r="53" spans="2:30" x14ac:dyDescent="0.25">
      <c r="B53" s="36"/>
      <c r="C53"/>
      <c r="D53" s="36"/>
      <c r="E53"/>
      <c r="F53" s="90"/>
      <c r="G53" s="90"/>
      <c r="H53" s="18"/>
      <c r="I53" s="18"/>
      <c r="J53" s="36"/>
      <c r="M53" s="173"/>
      <c r="N53" s="173"/>
      <c r="O53" s="173"/>
      <c r="P53" s="173"/>
      <c r="Q53" s="173"/>
      <c r="R53" s="173"/>
      <c r="S53" s="173"/>
      <c r="T53" s="173"/>
      <c r="U53" s="173"/>
      <c r="V53" s="173"/>
      <c r="W53" s="173"/>
      <c r="X53" s="173"/>
      <c r="Y53" s="173"/>
      <c r="Z53" s="173"/>
      <c r="AC53" s="22"/>
      <c r="AD53" s="22"/>
    </row>
    <row r="54" spans="2:30" x14ac:dyDescent="0.25">
      <c r="B54" s="36"/>
      <c r="C54"/>
      <c r="D54" s="36"/>
      <c r="E54"/>
      <c r="F54" s="90"/>
      <c r="G54" s="90"/>
      <c r="H54" s="18"/>
      <c r="I54" s="18"/>
      <c r="J54" s="36"/>
      <c r="M54" s="173"/>
      <c r="N54" s="173"/>
      <c r="O54" s="173"/>
      <c r="P54" s="173"/>
      <c r="Q54" s="173"/>
      <c r="R54" s="173"/>
      <c r="S54" s="173"/>
      <c r="T54" s="173"/>
      <c r="U54" s="173"/>
      <c r="V54" s="173"/>
      <c r="W54" s="173"/>
      <c r="X54" s="173"/>
      <c r="Y54" s="173"/>
      <c r="Z54" s="173"/>
      <c r="AC54" s="22"/>
      <c r="AD54" s="22"/>
    </row>
    <row r="55" spans="2:30" x14ac:dyDescent="0.25">
      <c r="B55" s="36"/>
      <c r="C55"/>
      <c r="D55" s="36"/>
      <c r="E55"/>
      <c r="F55" s="90"/>
      <c r="G55" s="90"/>
      <c r="H55" s="18"/>
      <c r="I55" s="18"/>
      <c r="J55" s="36"/>
      <c r="M55" s="173"/>
      <c r="N55" s="173"/>
      <c r="O55" s="173"/>
      <c r="P55" s="173"/>
      <c r="Q55" s="173"/>
      <c r="R55" s="173"/>
      <c r="S55" s="173"/>
      <c r="T55" s="173"/>
      <c r="U55" s="173"/>
      <c r="V55" s="173"/>
      <c r="W55" s="173"/>
      <c r="X55" s="173"/>
      <c r="Y55" s="173"/>
      <c r="Z55" s="173"/>
      <c r="AC55" s="22"/>
      <c r="AD55" s="22"/>
    </row>
    <row r="56" spans="2:30" x14ac:dyDescent="0.25">
      <c r="B56" s="36"/>
      <c r="C56"/>
      <c r="D56" s="36"/>
      <c r="E56"/>
      <c r="F56" s="90"/>
      <c r="G56" s="90"/>
      <c r="H56" s="18"/>
      <c r="I56" s="18"/>
      <c r="J56" s="36"/>
      <c r="M56" s="173"/>
      <c r="N56" s="173"/>
      <c r="O56" s="173"/>
      <c r="P56" s="173"/>
      <c r="Q56" s="173"/>
      <c r="R56" s="173"/>
      <c r="S56" s="173"/>
      <c r="T56" s="173"/>
      <c r="U56" s="173"/>
      <c r="V56" s="173"/>
      <c r="W56" s="173"/>
      <c r="X56" s="173"/>
      <c r="Y56" s="173"/>
      <c r="Z56" s="173"/>
      <c r="AC56" s="22"/>
      <c r="AD56" s="22"/>
    </row>
    <row r="57" spans="2:30" x14ac:dyDescent="0.25">
      <c r="B57" s="36"/>
      <c r="C57"/>
      <c r="D57" s="36"/>
      <c r="E57"/>
      <c r="F57" s="90"/>
      <c r="G57" s="90"/>
      <c r="H57" s="18"/>
      <c r="I57" s="18"/>
      <c r="J57" s="36"/>
      <c r="AC57" s="22"/>
      <c r="AD57" s="22"/>
    </row>
    <row r="58" spans="2:30" x14ac:dyDescent="0.25">
      <c r="B58" s="36"/>
      <c r="C58"/>
      <c r="D58" s="36"/>
      <c r="E58"/>
      <c r="F58" s="90"/>
      <c r="G58" s="90"/>
      <c r="H58" s="18"/>
      <c r="I58" s="18"/>
      <c r="AC58" s="22"/>
    </row>
    <row r="59" spans="2:30" x14ac:dyDescent="0.25">
      <c r="B59" s="36"/>
      <c r="C59"/>
      <c r="D59" s="36"/>
      <c r="E59"/>
      <c r="F59" s="90"/>
      <c r="G59" s="90"/>
      <c r="H59" s="18"/>
      <c r="I59" s="18"/>
    </row>
    <row r="60" spans="2:30" x14ac:dyDescent="0.25">
      <c r="B60" s="36"/>
      <c r="C60"/>
      <c r="D60" s="36"/>
      <c r="E60"/>
      <c r="F60" s="90"/>
      <c r="G60" s="90"/>
      <c r="H60" s="18"/>
      <c r="I60" s="18"/>
    </row>
    <row r="61" spans="2:30" x14ac:dyDescent="0.25">
      <c r="B61" s="36"/>
      <c r="C61"/>
      <c r="D61" s="36"/>
      <c r="E61"/>
      <c r="F61" s="90"/>
      <c r="G61" s="90"/>
      <c r="H61" s="18"/>
      <c r="I61" s="18"/>
    </row>
    <row r="62" spans="2:30" x14ac:dyDescent="0.25">
      <c r="B62" s="36"/>
      <c r="C62"/>
      <c r="D62" s="36"/>
      <c r="E62"/>
      <c r="F62" s="90"/>
      <c r="G62" s="90"/>
      <c r="H62" s="18"/>
      <c r="I62" s="18"/>
    </row>
    <row r="63" spans="2:30" x14ac:dyDescent="0.25">
      <c r="B63" s="36"/>
      <c r="C63"/>
      <c r="D63" s="36"/>
      <c r="E63"/>
      <c r="F63" s="90"/>
      <c r="G63" s="90"/>
      <c r="H63" s="18"/>
      <c r="I63" s="18"/>
    </row>
    <row r="64" spans="2:30" x14ac:dyDescent="0.25">
      <c r="F64" s="88"/>
      <c r="G64" s="93"/>
    </row>
    <row r="65" spans="6:12" x14ac:dyDescent="0.25">
      <c r="F65" s="88"/>
      <c r="G65" s="93"/>
      <c r="K65" s="97"/>
      <c r="L65" s="97"/>
    </row>
    <row r="66" spans="6:12" x14ac:dyDescent="0.25">
      <c r="F66" s="88"/>
      <c r="G66" s="93"/>
      <c r="K66" s="97"/>
      <c r="L66" s="97"/>
    </row>
    <row r="67" spans="6:12" x14ac:dyDescent="0.25">
      <c r="F67" s="88"/>
      <c r="G67" s="93"/>
      <c r="K67" s="97"/>
      <c r="L67" s="97"/>
    </row>
    <row r="68" spans="6:12" x14ac:dyDescent="0.25">
      <c r="F68" s="88"/>
      <c r="G68" s="93"/>
      <c r="K68" s="97"/>
      <c r="L68" s="97"/>
    </row>
    <row r="69" spans="6:12" x14ac:dyDescent="0.25">
      <c r="F69" s="88"/>
      <c r="G69" s="93"/>
      <c r="K69" s="97"/>
      <c r="L69" s="97"/>
    </row>
    <row r="70" spans="6:12" x14ac:dyDescent="0.25">
      <c r="F70" s="88"/>
      <c r="G70" s="93"/>
    </row>
    <row r="71" spans="6:12" x14ac:dyDescent="0.25">
      <c r="F71" s="88"/>
      <c r="G71" s="93"/>
    </row>
    <row r="72" spans="6:12" x14ac:dyDescent="0.25">
      <c r="F72" s="88"/>
      <c r="G72" s="93"/>
    </row>
    <row r="73" spans="6:12" x14ac:dyDescent="0.25">
      <c r="F73" s="88"/>
      <c r="G73" s="93"/>
    </row>
    <row r="74" spans="6:12" x14ac:dyDescent="0.25">
      <c r="F74" s="88"/>
      <c r="G74" s="93"/>
    </row>
    <row r="75" spans="6:12" x14ac:dyDescent="0.25">
      <c r="F75" s="88"/>
      <c r="G75" s="93"/>
    </row>
    <row r="76" spans="6:12" x14ac:dyDescent="0.25">
      <c r="F76" s="88"/>
      <c r="G76" s="93"/>
    </row>
    <row r="77" spans="6:12" x14ac:dyDescent="0.25">
      <c r="F77" s="88"/>
      <c r="G77" s="93"/>
    </row>
    <row r="78" spans="6:12" x14ac:dyDescent="0.25">
      <c r="F78" s="88"/>
      <c r="G78" s="93"/>
    </row>
    <row r="79" spans="6:12" x14ac:dyDescent="0.25">
      <c r="F79" s="88"/>
      <c r="G79" s="93"/>
    </row>
    <row r="80" spans="6:12" x14ac:dyDescent="0.25">
      <c r="F80" s="88"/>
      <c r="G80" s="93"/>
    </row>
    <row r="81" spans="6:7" x14ac:dyDescent="0.25">
      <c r="F81" s="88"/>
      <c r="G81" s="93"/>
    </row>
    <row r="82" spans="6:7" x14ac:dyDescent="0.25">
      <c r="F82" s="88"/>
      <c r="G82" s="93"/>
    </row>
    <row r="83" spans="6:7" x14ac:dyDescent="0.25">
      <c r="F83" s="88"/>
      <c r="G83" s="93"/>
    </row>
    <row r="84" spans="6:7" x14ac:dyDescent="0.25">
      <c r="F84" s="88"/>
      <c r="G84" s="93"/>
    </row>
    <row r="85" spans="6:7" x14ac:dyDescent="0.25">
      <c r="F85" s="88"/>
      <c r="G85" s="93"/>
    </row>
    <row r="86" spans="6:7" x14ac:dyDescent="0.25">
      <c r="F86" s="88"/>
      <c r="G86" s="93"/>
    </row>
    <row r="87" spans="6:7" x14ac:dyDescent="0.25">
      <c r="F87" s="88"/>
      <c r="G87" s="93"/>
    </row>
    <row r="88" spans="6:7" x14ac:dyDescent="0.25">
      <c r="F88" s="88"/>
      <c r="G88" s="93"/>
    </row>
    <row r="89" spans="6:7" x14ac:dyDescent="0.25">
      <c r="F89" s="88"/>
      <c r="G89" s="93"/>
    </row>
    <row r="90" spans="6:7" x14ac:dyDescent="0.25">
      <c r="F90" s="88"/>
      <c r="G90" s="93"/>
    </row>
    <row r="91" spans="6:7" x14ac:dyDescent="0.25">
      <c r="F91" s="88"/>
      <c r="G91" s="93"/>
    </row>
    <row r="92" spans="6:7" x14ac:dyDescent="0.25">
      <c r="F92" s="88"/>
      <c r="G92" s="93"/>
    </row>
    <row r="93" spans="6:7" x14ac:dyDescent="0.25">
      <c r="F93" s="88"/>
      <c r="G93" s="93"/>
    </row>
    <row r="94" spans="6:7" x14ac:dyDescent="0.25">
      <c r="F94" s="88"/>
      <c r="G94" s="93"/>
    </row>
    <row r="95" spans="6:7" x14ac:dyDescent="0.25">
      <c r="F95" s="88"/>
      <c r="G95" s="93"/>
    </row>
    <row r="96" spans="6:7" x14ac:dyDescent="0.25">
      <c r="F96" s="88"/>
      <c r="G96" s="93"/>
    </row>
    <row r="97" spans="6:7" x14ac:dyDescent="0.25">
      <c r="F97" s="88"/>
      <c r="G97" s="93"/>
    </row>
    <row r="98" spans="6:7" x14ac:dyDescent="0.25">
      <c r="F98" s="88"/>
      <c r="G98" s="93"/>
    </row>
    <row r="99" spans="6:7" x14ac:dyDescent="0.25">
      <c r="F99" s="88"/>
      <c r="G99" s="93"/>
    </row>
    <row r="100" spans="6:7" x14ac:dyDescent="0.25">
      <c r="F100" s="88"/>
      <c r="G100" s="93"/>
    </row>
    <row r="101" spans="6:7" x14ac:dyDescent="0.25">
      <c r="F101" s="88"/>
      <c r="G101" s="93"/>
    </row>
    <row r="102" spans="6:7" x14ac:dyDescent="0.25">
      <c r="F102" s="88"/>
      <c r="G102" s="93"/>
    </row>
    <row r="103" spans="6:7" x14ac:dyDescent="0.25">
      <c r="F103" s="88"/>
      <c r="G103" s="93"/>
    </row>
    <row r="104" spans="6:7" x14ac:dyDescent="0.25">
      <c r="F104" s="88"/>
      <c r="G104" s="93"/>
    </row>
    <row r="105" spans="6:7" x14ac:dyDescent="0.25">
      <c r="F105" s="88"/>
      <c r="G105" s="93"/>
    </row>
  </sheetData>
  <mergeCells count="3">
    <mergeCell ref="U10:V10"/>
    <mergeCell ref="U19:V19"/>
    <mergeCell ref="D12:E12"/>
  </mergeCells>
  <dataValidations count="3">
    <dataValidation type="decimal" operator="greaterThan" showInputMessage="1" showErrorMessage="1" error="This cell must contain a positive number." sqref="S23 O4 O6" xr:uid="{00000000-0002-0000-0300-000000000000}">
      <formula1>0</formula1>
    </dataValidation>
    <dataValidation type="decimal" showInputMessage="1" showErrorMessage="1" error="This cell must contain a positive number between 0 and 1." sqref="O2" xr:uid="{00000000-0002-0000-0300-000001000000}">
      <formula1>0</formula1>
      <formula2>1</formula2>
    </dataValidation>
    <dataValidation type="decimal" operator="greaterThanOrEqual" showInputMessage="1" showErrorMessage="1" error="This cell must contain a positive number." sqref="O8" xr:uid="{00000000-0002-0000-0300-00000200000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cCallum24H">
                <anchor moveWithCells="1" sizeWithCells="1">
                  <from>
                    <xdr:col>23</xdr:col>
                    <xdr:colOff>314325</xdr:colOff>
                    <xdr:row>0</xdr:row>
                    <xdr:rowOff>171450</xdr:rowOff>
                  </from>
                  <to>
                    <xdr:col>25</xdr:col>
                    <xdr:colOff>971550</xdr:colOff>
                    <xdr:row>3</xdr:row>
                    <xdr:rowOff>228600</xdr:rowOff>
                  </to>
                </anchor>
              </controlPr>
            </control>
          </mc:Choice>
        </mc:AlternateContent>
        <mc:AlternateContent xmlns:mc="http://schemas.openxmlformats.org/markup-compatibility/2006">
          <mc:Choice Requires="x14">
            <control shapeId="1034" r:id="rId5" name="Button 10">
              <controlPr defaultSize="0" print="0" autoFill="0" autoPict="0" macro="[0]!ClearTimeSeriesData">
                <anchor moveWithCells="1" sizeWithCells="1">
                  <from>
                    <xdr:col>0</xdr:col>
                    <xdr:colOff>133350</xdr:colOff>
                    <xdr:row>8</xdr:row>
                    <xdr:rowOff>161925</xdr:rowOff>
                  </from>
                  <to>
                    <xdr:col>2</xdr:col>
                    <xdr:colOff>895350</xdr:colOff>
                    <xdr:row>10</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T65"/>
  <sheetViews>
    <sheetView tabSelected="1" workbookViewId="0">
      <selection activeCell="E14" sqref="E14"/>
    </sheetView>
  </sheetViews>
  <sheetFormatPr defaultRowHeight="15" x14ac:dyDescent="0.25"/>
  <cols>
    <col min="1" max="1" width="11.7109375" style="53" customWidth="1"/>
    <col min="2" max="2" width="19" customWidth="1"/>
    <col min="3" max="3" width="10.7109375" style="9" customWidth="1"/>
    <col min="4" max="4" width="16.42578125" customWidth="1"/>
    <col min="5" max="5" width="9" style="9"/>
    <col min="7" max="7" width="18.85546875" style="111" customWidth="1"/>
    <col min="8" max="8" width="10.85546875" style="9" customWidth="1"/>
    <col min="9" max="9" width="21.42578125" style="111" customWidth="1"/>
    <col min="10" max="10" width="9" style="9"/>
    <col min="12" max="12" width="19.7109375" style="91" customWidth="1"/>
    <col min="13" max="13" width="10.42578125" style="121" customWidth="1"/>
    <col min="14" max="14" width="15.42578125" style="91" customWidth="1"/>
    <col min="15" max="15" width="9" style="121"/>
    <col min="16" max="16" width="9" style="1"/>
    <col min="17" max="17" width="20" style="111" customWidth="1"/>
    <col min="18" max="18" width="11.28515625" style="9" customWidth="1"/>
    <col min="19" max="19" width="16.140625" style="111" customWidth="1"/>
    <col min="20" max="20" width="9" style="9"/>
  </cols>
  <sheetData>
    <row r="1" spans="1:20" x14ac:dyDescent="0.25">
      <c r="B1" s="128" t="s">
        <v>160</v>
      </c>
      <c r="C1" s="121"/>
      <c r="D1" s="91"/>
      <c r="E1" s="77"/>
      <c r="G1" s="128" t="s">
        <v>163</v>
      </c>
      <c r="H1" s="121"/>
      <c r="I1" s="94"/>
      <c r="J1" s="77"/>
      <c r="L1" s="129" t="s">
        <v>161</v>
      </c>
      <c r="Q1" s="130" t="s">
        <v>162</v>
      </c>
      <c r="R1" s="121"/>
      <c r="S1" s="94"/>
      <c r="T1" s="121"/>
    </row>
    <row r="2" spans="1:20" x14ac:dyDescent="0.25">
      <c r="B2" s="59"/>
      <c r="C2" s="121"/>
      <c r="D2" s="91"/>
      <c r="E2" s="77"/>
      <c r="G2" s="59"/>
      <c r="H2" s="121"/>
      <c r="I2" s="94"/>
      <c r="J2" s="77"/>
      <c r="L2" s="118"/>
      <c r="Q2" s="59"/>
      <c r="R2" s="121"/>
      <c r="S2" s="94"/>
      <c r="T2" s="121"/>
    </row>
    <row r="3" spans="1:20" x14ac:dyDescent="0.25">
      <c r="A3" s="144" t="s">
        <v>167</v>
      </c>
      <c r="B3" s="107" t="s">
        <v>159</v>
      </c>
      <c r="C3" s="122">
        <v>0.1</v>
      </c>
      <c r="D3" s="105" t="s">
        <v>46</v>
      </c>
      <c r="E3" s="121"/>
      <c r="F3" s="1"/>
      <c r="G3" s="107" t="s">
        <v>159</v>
      </c>
      <c r="H3" s="122">
        <v>0.15</v>
      </c>
      <c r="I3" s="107" t="s">
        <v>46</v>
      </c>
      <c r="L3" s="107" t="s">
        <v>159</v>
      </c>
      <c r="M3" s="122">
        <v>0.15</v>
      </c>
      <c r="N3" s="105" t="s">
        <v>46</v>
      </c>
      <c r="Q3" s="107" t="s">
        <v>159</v>
      </c>
      <c r="R3" s="122">
        <v>0.1</v>
      </c>
      <c r="S3" s="107" t="s">
        <v>46</v>
      </c>
      <c r="T3" s="121"/>
    </row>
    <row r="4" spans="1:20" x14ac:dyDescent="0.25">
      <c r="A4" s="91"/>
      <c r="B4" s="107" t="s">
        <v>49</v>
      </c>
      <c r="C4" s="108">
        <v>0.6</v>
      </c>
      <c r="D4" s="105"/>
      <c r="E4" s="77"/>
      <c r="G4" s="107" t="s">
        <v>49</v>
      </c>
      <c r="H4" s="108">
        <v>0.45</v>
      </c>
      <c r="I4" s="107"/>
      <c r="J4" s="77"/>
      <c r="L4" s="107" t="s">
        <v>49</v>
      </c>
      <c r="M4" s="108">
        <v>0.6</v>
      </c>
      <c r="N4" s="105"/>
      <c r="Q4" s="107" t="s">
        <v>49</v>
      </c>
      <c r="R4" s="108">
        <v>0.5</v>
      </c>
      <c r="S4" s="107"/>
      <c r="T4" s="121"/>
    </row>
    <row r="5" spans="1:20" x14ac:dyDescent="0.25">
      <c r="A5" s="91"/>
      <c r="B5" s="105" t="s">
        <v>40</v>
      </c>
      <c r="C5" s="109">
        <v>4190000</v>
      </c>
      <c r="D5" s="105" t="s">
        <v>44</v>
      </c>
      <c r="E5" s="77"/>
      <c r="G5" s="107" t="s">
        <v>40</v>
      </c>
      <c r="H5" s="109">
        <v>4190000</v>
      </c>
      <c r="I5" s="107" t="s">
        <v>44</v>
      </c>
      <c r="J5" s="77"/>
      <c r="L5" s="105" t="s">
        <v>40</v>
      </c>
      <c r="M5" s="109">
        <v>4190000</v>
      </c>
      <c r="N5" s="105" t="s">
        <v>44</v>
      </c>
      <c r="Q5" s="107" t="s">
        <v>40</v>
      </c>
      <c r="R5" s="109">
        <v>4190000</v>
      </c>
      <c r="S5" s="107" t="s">
        <v>44</v>
      </c>
      <c r="T5" s="121"/>
    </row>
    <row r="6" spans="1:20" x14ac:dyDescent="0.25">
      <c r="A6" s="91"/>
      <c r="B6" s="105" t="s">
        <v>41</v>
      </c>
      <c r="C6" s="109">
        <v>2000000</v>
      </c>
      <c r="D6" s="105" t="s">
        <v>44</v>
      </c>
      <c r="E6" s="77"/>
      <c r="G6" s="107" t="s">
        <v>41</v>
      </c>
      <c r="H6" s="109">
        <v>2000000</v>
      </c>
      <c r="I6" s="107" t="s">
        <v>44</v>
      </c>
      <c r="J6" s="77"/>
      <c r="L6" s="105" t="s">
        <v>41</v>
      </c>
      <c r="M6" s="109">
        <v>2000000</v>
      </c>
      <c r="N6" s="105" t="s">
        <v>44</v>
      </c>
      <c r="Q6" s="107" t="s">
        <v>41</v>
      </c>
      <c r="R6" s="109">
        <v>2000000</v>
      </c>
      <c r="S6" s="107" t="s">
        <v>44</v>
      </c>
      <c r="T6" s="121"/>
    </row>
    <row r="7" spans="1:20" x14ac:dyDescent="0.25">
      <c r="A7" s="91"/>
      <c r="B7" s="105" t="s">
        <v>42</v>
      </c>
      <c r="C7" s="106">
        <v>0.84</v>
      </c>
      <c r="D7" s="105" t="s">
        <v>43</v>
      </c>
      <c r="E7" s="77"/>
      <c r="G7" s="107" t="s">
        <v>42</v>
      </c>
      <c r="H7" s="122">
        <v>1.5</v>
      </c>
      <c r="I7" s="107" t="s">
        <v>43</v>
      </c>
      <c r="J7" s="77"/>
      <c r="L7" s="105" t="s">
        <v>45</v>
      </c>
      <c r="M7" s="109">
        <v>1E-3</v>
      </c>
      <c r="N7" s="105" t="s">
        <v>46</v>
      </c>
      <c r="Q7" s="107" t="s">
        <v>45</v>
      </c>
      <c r="R7" s="109">
        <v>1E-3</v>
      </c>
      <c r="S7" s="107" t="s">
        <v>46</v>
      </c>
      <c r="T7" s="121"/>
    </row>
    <row r="8" spans="1:20" x14ac:dyDescent="0.25">
      <c r="B8" s="105" t="s">
        <v>45</v>
      </c>
      <c r="C8" s="109">
        <v>1E-3</v>
      </c>
      <c r="D8" s="105" t="s">
        <v>46</v>
      </c>
      <c r="E8" s="77"/>
      <c r="G8" s="107" t="s">
        <v>45</v>
      </c>
      <c r="H8" s="109">
        <v>1E-3</v>
      </c>
      <c r="I8" s="107" t="s">
        <v>46</v>
      </c>
      <c r="J8" s="77"/>
      <c r="L8" s="94" t="s">
        <v>157</v>
      </c>
      <c r="M8" s="120">
        <v>0.05</v>
      </c>
      <c r="N8" s="91" t="s">
        <v>46</v>
      </c>
      <c r="Q8" s="94" t="s">
        <v>157</v>
      </c>
      <c r="R8" s="120">
        <v>0.1</v>
      </c>
      <c r="S8" s="94" t="s">
        <v>46</v>
      </c>
      <c r="T8" s="121"/>
    </row>
    <row r="9" spans="1:20" x14ac:dyDescent="0.25">
      <c r="B9" s="94" t="s">
        <v>157</v>
      </c>
      <c r="C9" s="120">
        <v>0.01</v>
      </c>
      <c r="D9" s="91" t="s">
        <v>46</v>
      </c>
      <c r="E9" s="121"/>
      <c r="F9" s="1"/>
      <c r="G9" s="94" t="s">
        <v>157</v>
      </c>
      <c r="H9" s="120">
        <v>0</v>
      </c>
      <c r="I9" s="94" t="s">
        <v>46</v>
      </c>
      <c r="J9" s="77"/>
      <c r="L9" s="94" t="s">
        <v>158</v>
      </c>
      <c r="M9" s="120">
        <v>0.2</v>
      </c>
      <c r="N9" s="91" t="s">
        <v>46</v>
      </c>
      <c r="Q9" s="94" t="s">
        <v>158</v>
      </c>
      <c r="R9" s="120">
        <v>0.2</v>
      </c>
      <c r="S9" s="94" t="s">
        <v>46</v>
      </c>
      <c r="T9" s="121"/>
    </row>
    <row r="10" spans="1:20" x14ac:dyDescent="0.25">
      <c r="B10" s="94" t="s">
        <v>158</v>
      </c>
      <c r="C10" s="120">
        <v>0.11</v>
      </c>
      <c r="D10" s="91" t="s">
        <v>46</v>
      </c>
      <c r="E10" s="121"/>
      <c r="F10" s="1"/>
      <c r="G10" s="94" t="s">
        <v>158</v>
      </c>
      <c r="H10" s="120">
        <v>0.15</v>
      </c>
      <c r="I10" s="94" t="s">
        <v>46</v>
      </c>
      <c r="J10" s="77"/>
      <c r="Q10" s="94"/>
      <c r="R10" s="121"/>
      <c r="S10" s="94"/>
      <c r="T10" s="121"/>
    </row>
    <row r="11" spans="1:20" x14ac:dyDescent="0.25">
      <c r="B11" s="94"/>
      <c r="C11" s="120"/>
      <c r="D11" s="91"/>
      <c r="E11" s="77"/>
      <c r="G11" s="94"/>
      <c r="H11" s="120"/>
      <c r="I11" s="94"/>
      <c r="J11" s="77"/>
      <c r="Q11" s="94"/>
      <c r="R11" s="121"/>
      <c r="S11" s="94"/>
      <c r="T11" s="121"/>
    </row>
    <row r="12" spans="1:20" x14ac:dyDescent="0.25">
      <c r="A12" s="144" t="s">
        <v>166</v>
      </c>
      <c r="B12" s="139" t="s">
        <v>164</v>
      </c>
      <c r="C12" s="140">
        <v>10.32</v>
      </c>
      <c r="D12" s="139" t="s">
        <v>165</v>
      </c>
      <c r="E12" s="77"/>
      <c r="G12" s="128" t="s">
        <v>164</v>
      </c>
      <c r="H12" s="141">
        <v>-16.97</v>
      </c>
      <c r="I12" s="128" t="s">
        <v>165</v>
      </c>
      <c r="J12" s="77"/>
      <c r="L12" s="129" t="s">
        <v>164</v>
      </c>
      <c r="M12" s="142">
        <v>4.9400000000000004</v>
      </c>
      <c r="N12" s="129" t="s">
        <v>165</v>
      </c>
      <c r="Q12" s="130" t="s">
        <v>164</v>
      </c>
      <c r="R12" s="143">
        <v>-10.07</v>
      </c>
      <c r="S12" s="130" t="s">
        <v>165</v>
      </c>
      <c r="T12" s="121"/>
    </row>
    <row r="13" spans="1:20" s="1" customFormat="1" x14ac:dyDescent="0.25">
      <c r="A13" s="118"/>
      <c r="B13" s="133" t="s">
        <v>169</v>
      </c>
      <c r="C13" s="134">
        <v>5.6486000000000001</v>
      </c>
      <c r="D13" s="133"/>
      <c r="E13" s="121"/>
      <c r="G13" s="135"/>
      <c r="H13" s="136"/>
      <c r="I13" s="135"/>
      <c r="J13" s="121"/>
      <c r="L13" s="133"/>
      <c r="M13" s="134"/>
      <c r="N13" s="133"/>
      <c r="O13" s="121"/>
      <c r="Q13" s="135"/>
      <c r="R13" s="131"/>
      <c r="S13" s="135"/>
      <c r="T13" s="121"/>
    </row>
    <row r="14" spans="1:20" s="1" customFormat="1" x14ac:dyDescent="0.25">
      <c r="A14" s="118"/>
      <c r="J14" s="77"/>
      <c r="K14"/>
      <c r="T14" s="121"/>
    </row>
    <row r="15" spans="1:20" x14ac:dyDescent="0.25">
      <c r="B15" s="57"/>
      <c r="C15" s="58"/>
      <c r="D15" s="91"/>
      <c r="E15" s="8"/>
      <c r="G15" s="57"/>
      <c r="H15" s="58"/>
      <c r="I15" s="94"/>
      <c r="J15" s="8"/>
      <c r="L15" s="57"/>
      <c r="M15" s="58"/>
      <c r="N15" s="94"/>
      <c r="O15" s="58"/>
      <c r="Q15" s="57"/>
      <c r="R15" s="58"/>
      <c r="S15" s="94"/>
      <c r="T15" s="58"/>
    </row>
    <row r="16" spans="1:20" x14ac:dyDescent="0.25">
      <c r="B16" s="123" t="s">
        <v>4</v>
      </c>
      <c r="C16" s="14" t="s">
        <v>38</v>
      </c>
      <c r="D16" s="117" t="s">
        <v>4</v>
      </c>
      <c r="E16" s="29" t="s">
        <v>39</v>
      </c>
      <c r="G16" s="123" t="s">
        <v>4</v>
      </c>
      <c r="H16" s="14" t="s">
        <v>38</v>
      </c>
      <c r="I16" s="117" t="s">
        <v>4</v>
      </c>
      <c r="J16" s="29" t="s">
        <v>39</v>
      </c>
      <c r="L16" s="123" t="s">
        <v>4</v>
      </c>
      <c r="M16" s="14" t="s">
        <v>38</v>
      </c>
      <c r="N16" s="117" t="s">
        <v>4</v>
      </c>
      <c r="O16" s="29" t="s">
        <v>39</v>
      </c>
      <c r="Q16" s="123" t="s">
        <v>4</v>
      </c>
      <c r="R16" s="14" t="s">
        <v>38</v>
      </c>
      <c r="S16" s="117" t="s">
        <v>4</v>
      </c>
      <c r="T16" s="29" t="s">
        <v>39</v>
      </c>
    </row>
    <row r="17" spans="2:20" x14ac:dyDescent="0.25">
      <c r="B17" s="96">
        <v>41832</v>
      </c>
      <c r="C17" s="126">
        <v>24.507769894549799</v>
      </c>
      <c r="D17" s="96">
        <v>41832</v>
      </c>
      <c r="E17" s="127">
        <v>21.07</v>
      </c>
      <c r="F17" s="9"/>
      <c r="G17" s="137">
        <v>42933.833344907398</v>
      </c>
      <c r="H17" s="125">
        <v>21.349258316485301</v>
      </c>
      <c r="I17" s="137">
        <v>42933.833344907398</v>
      </c>
      <c r="J17" s="125">
        <v>20.713109980279999</v>
      </c>
      <c r="K17" s="9"/>
      <c r="L17" s="138">
        <v>41450</v>
      </c>
      <c r="M17" s="93">
        <v>21.25</v>
      </c>
      <c r="N17" s="138">
        <v>41450</v>
      </c>
      <c r="O17" s="93">
        <v>15.76</v>
      </c>
      <c r="P17" s="3"/>
      <c r="Q17" s="137">
        <v>42954.937511574099</v>
      </c>
      <c r="R17" s="125">
        <v>20.158516150034998</v>
      </c>
      <c r="S17" s="137">
        <v>42954.937511574099</v>
      </c>
      <c r="T17" s="125">
        <v>20.3379140261125</v>
      </c>
    </row>
    <row r="18" spans="2:20" x14ac:dyDescent="0.25">
      <c r="B18" s="96">
        <v>41832.041666666664</v>
      </c>
      <c r="C18" s="126">
        <v>24.382754172609602</v>
      </c>
      <c r="D18" s="96">
        <v>41832.041666666664</v>
      </c>
      <c r="E18" s="127">
        <v>21.07</v>
      </c>
      <c r="F18" s="9"/>
      <c r="G18" s="137">
        <v>42933.854178240697</v>
      </c>
      <c r="H18" s="125">
        <v>21.349258316485301</v>
      </c>
      <c r="I18" s="137">
        <v>42933.854178240697</v>
      </c>
      <c r="J18" s="125">
        <v>20.713109980279999</v>
      </c>
      <c r="K18" s="9"/>
      <c r="L18" s="138">
        <v>41450.041666666664</v>
      </c>
      <c r="M18" s="93">
        <v>20.93</v>
      </c>
      <c r="N18" s="138">
        <v>41450.041666666664</v>
      </c>
      <c r="O18" s="93">
        <v>15.76</v>
      </c>
      <c r="P18" s="3"/>
      <c r="Q18" s="137">
        <v>42954.958344907398</v>
      </c>
      <c r="R18" s="125">
        <v>20.158516150034998</v>
      </c>
      <c r="S18" s="137">
        <v>42954.958344907398</v>
      </c>
      <c r="T18" s="125">
        <v>20.2753786199026</v>
      </c>
    </row>
    <row r="19" spans="2:20" x14ac:dyDescent="0.25">
      <c r="B19" s="96">
        <v>41832.083333333336</v>
      </c>
      <c r="C19" s="126">
        <v>24.195225982537298</v>
      </c>
      <c r="D19" s="96">
        <v>41832.083333333336</v>
      </c>
      <c r="E19" s="127">
        <v>21.07</v>
      </c>
      <c r="F19" s="9"/>
      <c r="G19" s="137">
        <v>42933.875011574099</v>
      </c>
      <c r="H19" s="125">
        <v>21.349258316485301</v>
      </c>
      <c r="I19" s="137">
        <v>42933.875011574099</v>
      </c>
      <c r="J19" s="125">
        <v>20.7756398921467</v>
      </c>
      <c r="K19" s="9"/>
      <c r="L19" s="138">
        <v>41450.083333333336</v>
      </c>
      <c r="M19" s="93">
        <v>20.62</v>
      </c>
      <c r="N19" s="138">
        <v>41450.083333333336</v>
      </c>
      <c r="O19" s="93">
        <v>15.7</v>
      </c>
      <c r="P19" s="3"/>
      <c r="Q19" s="137">
        <v>42954.979178240697</v>
      </c>
      <c r="R19" s="125">
        <v>20.2211864809153</v>
      </c>
      <c r="S19" s="137">
        <v>42954.979178240697</v>
      </c>
      <c r="T19" s="125">
        <v>20.2753786199026</v>
      </c>
    </row>
    <row r="20" spans="2:20" x14ac:dyDescent="0.25">
      <c r="B20" s="96">
        <v>41832.125</v>
      </c>
      <c r="C20" s="126">
        <v>24.0702041177145</v>
      </c>
      <c r="D20" s="96">
        <v>41832.125</v>
      </c>
      <c r="E20" s="127">
        <v>21.07</v>
      </c>
      <c r="F20" s="9"/>
      <c r="G20" s="137">
        <v>42933.895844907398</v>
      </c>
      <c r="H20" s="125">
        <v>21.349258316485301</v>
      </c>
      <c r="I20" s="137">
        <v>42933.895844907398</v>
      </c>
      <c r="J20" s="125">
        <v>20.7756398921467</v>
      </c>
      <c r="K20" s="9"/>
      <c r="L20" s="138">
        <v>41450.125</v>
      </c>
      <c r="M20" s="93">
        <v>20.5</v>
      </c>
      <c r="N20" s="138">
        <v>41450.125</v>
      </c>
      <c r="O20" s="93">
        <v>15.7</v>
      </c>
      <c r="P20" s="3"/>
      <c r="Q20" s="137">
        <v>42955.000011574099</v>
      </c>
      <c r="R20" s="125">
        <v>20.2211864809153</v>
      </c>
      <c r="S20" s="137">
        <v>42955.000011574099</v>
      </c>
      <c r="T20" s="125">
        <v>20.2753786199026</v>
      </c>
    </row>
    <row r="21" spans="2:20" x14ac:dyDescent="0.25">
      <c r="B21" s="96">
        <v>41832.166666666664</v>
      </c>
      <c r="C21" s="126">
        <v>23.882666713318301</v>
      </c>
      <c r="D21" s="96">
        <v>41832.166666666664</v>
      </c>
      <c r="E21" s="127">
        <v>21.01</v>
      </c>
      <c r="F21" s="9"/>
      <c r="G21" s="137">
        <v>42933.916678240697</v>
      </c>
      <c r="H21" s="125">
        <v>21.286587367309998</v>
      </c>
      <c r="I21" s="137">
        <v>42933.916678240697</v>
      </c>
      <c r="J21" s="125">
        <v>20.7756398921467</v>
      </c>
      <c r="K21" s="9"/>
      <c r="L21" s="138">
        <v>41450.166666666664</v>
      </c>
      <c r="M21" s="93">
        <v>20.5</v>
      </c>
      <c r="N21" s="138">
        <v>41450.166666666664</v>
      </c>
      <c r="O21" s="93">
        <v>15.64</v>
      </c>
      <c r="P21" s="3"/>
      <c r="Q21" s="137">
        <v>42955.020844907398</v>
      </c>
      <c r="R21" s="125">
        <v>20.283856846249201</v>
      </c>
      <c r="S21" s="137">
        <v>42955.020844907398</v>
      </c>
      <c r="T21" s="125">
        <v>20.2753786199026</v>
      </c>
    </row>
    <row r="22" spans="2:20" x14ac:dyDescent="0.25">
      <c r="B22" s="96">
        <v>41832.208333333336</v>
      </c>
      <c r="C22" s="126">
        <v>23.695123780327702</v>
      </c>
      <c r="D22" s="96">
        <v>41832.208333333336</v>
      </c>
      <c r="E22" s="127">
        <v>21.01</v>
      </c>
      <c r="F22" s="9"/>
      <c r="G22" s="137">
        <v>42933.937511574099</v>
      </c>
      <c r="H22" s="125">
        <v>21.286587367309998</v>
      </c>
      <c r="I22" s="137">
        <v>42933.937511574099</v>
      </c>
      <c r="J22" s="125">
        <v>20.7756398921467</v>
      </c>
      <c r="K22" s="9"/>
      <c r="L22" s="138">
        <v>41450.208333333336</v>
      </c>
      <c r="M22" s="93">
        <v>20.56</v>
      </c>
      <c r="N22" s="138">
        <v>41450.208333333336</v>
      </c>
      <c r="O22" s="93">
        <v>15.57</v>
      </c>
      <c r="P22" s="3"/>
      <c r="Q22" s="137">
        <v>42955.041678240697</v>
      </c>
      <c r="R22" s="125">
        <v>20.283856846249201</v>
      </c>
      <c r="S22" s="137">
        <v>42955.041678240697</v>
      </c>
      <c r="T22" s="125">
        <v>20.212842428777702</v>
      </c>
    </row>
    <row r="23" spans="2:20" x14ac:dyDescent="0.25">
      <c r="B23" s="96">
        <v>41832.25</v>
      </c>
      <c r="C23" s="126">
        <v>23.507575318742798</v>
      </c>
      <c r="D23" s="96">
        <v>41832.25</v>
      </c>
      <c r="E23" s="127">
        <v>20.94</v>
      </c>
      <c r="F23" s="9"/>
      <c r="G23" s="137">
        <v>42933.958344907398</v>
      </c>
      <c r="H23" s="125">
        <v>21.2239164523806</v>
      </c>
      <c r="I23" s="137">
        <v>42933.958344907398</v>
      </c>
      <c r="J23" s="125">
        <v>20.7756398921467</v>
      </c>
      <c r="K23" s="9"/>
      <c r="L23" s="138">
        <v>41450.25</v>
      </c>
      <c r="M23" s="93">
        <v>20.62</v>
      </c>
      <c r="N23" s="138">
        <v>41450.25</v>
      </c>
      <c r="O23" s="93">
        <v>15.57</v>
      </c>
      <c r="P23" s="3"/>
      <c r="Q23" s="137">
        <v>42955.062511574099</v>
      </c>
      <c r="R23" s="125">
        <v>20.283856846249201</v>
      </c>
      <c r="S23" s="137">
        <v>42955.062511574099</v>
      </c>
      <c r="T23" s="125">
        <v>20.212842428777702</v>
      </c>
    </row>
    <row r="24" spans="2:20" x14ac:dyDescent="0.25">
      <c r="B24" s="96">
        <v>41832.291666666664</v>
      </c>
      <c r="C24" s="126">
        <v>23.4450579363046</v>
      </c>
      <c r="D24" s="96">
        <v>41832.291666666664</v>
      </c>
      <c r="E24" s="127">
        <v>20.94</v>
      </c>
      <c r="F24" s="9"/>
      <c r="G24" s="137">
        <v>42933.979178240697</v>
      </c>
      <c r="H24" s="125">
        <v>21.2239164523806</v>
      </c>
      <c r="I24" s="137">
        <v>42933.979178240697</v>
      </c>
      <c r="J24" s="125">
        <v>20.838169019116101</v>
      </c>
      <c r="K24" s="9"/>
      <c r="L24" s="138">
        <v>41450.291666666664</v>
      </c>
      <c r="M24" s="93">
        <v>20.68</v>
      </c>
      <c r="N24" s="138">
        <v>41450.291666666664</v>
      </c>
      <c r="O24" s="93">
        <v>15.51</v>
      </c>
      <c r="P24" s="3"/>
      <c r="Q24" s="137">
        <v>42955.083344907398</v>
      </c>
      <c r="R24" s="125">
        <v>20.283856846249201</v>
      </c>
      <c r="S24" s="137">
        <v>42955.083344907398</v>
      </c>
      <c r="T24" s="125">
        <v>20.212842428777702</v>
      </c>
    </row>
    <row r="25" spans="2:20" x14ac:dyDescent="0.25">
      <c r="B25" s="96">
        <v>41832.333333333336</v>
      </c>
      <c r="C25" s="126">
        <v>23.4450579363046</v>
      </c>
      <c r="D25" s="96">
        <v>41832.333333333336</v>
      </c>
      <c r="E25" s="127">
        <v>20.88</v>
      </c>
      <c r="F25" s="9"/>
      <c r="G25" s="137">
        <v>42934.000011574099</v>
      </c>
      <c r="H25" s="125">
        <v>21.161245571709198</v>
      </c>
      <c r="I25" s="137">
        <v>42934.000011574099</v>
      </c>
      <c r="J25" s="125">
        <v>20.838169019116101</v>
      </c>
      <c r="K25" s="9"/>
      <c r="L25" s="138">
        <v>41450.333333333336</v>
      </c>
      <c r="M25" s="93">
        <v>21.06</v>
      </c>
      <c r="N25" s="138">
        <v>41450.333333333336</v>
      </c>
      <c r="O25" s="93">
        <v>15.45</v>
      </c>
      <c r="P25" s="3"/>
      <c r="Q25" s="137">
        <v>42955.104178240697</v>
      </c>
      <c r="R25" s="125">
        <v>20.3465272460245</v>
      </c>
      <c r="S25" s="137">
        <v>42955.104178240697</v>
      </c>
      <c r="T25" s="125">
        <v>20.212842428777702</v>
      </c>
    </row>
    <row r="26" spans="2:20" x14ac:dyDescent="0.25">
      <c r="B26" s="96">
        <v>41832.375</v>
      </c>
      <c r="C26" s="126">
        <v>23.632608240754301</v>
      </c>
      <c r="D26" s="96">
        <v>41832.375</v>
      </c>
      <c r="E26" s="127">
        <v>20.82</v>
      </c>
      <c r="F26" s="9"/>
      <c r="G26" s="137">
        <v>42934.020844907398</v>
      </c>
      <c r="H26" s="125">
        <v>21.161245571709198</v>
      </c>
      <c r="I26" s="137">
        <v>42934.020844907398</v>
      </c>
      <c r="J26" s="125">
        <v>20.838169019116101</v>
      </c>
      <c r="K26" s="9"/>
      <c r="L26" s="138">
        <v>41450.375</v>
      </c>
      <c r="M26" s="93">
        <v>22.62</v>
      </c>
      <c r="N26" s="138">
        <v>41450.375</v>
      </c>
      <c r="O26" s="93">
        <v>15.45</v>
      </c>
      <c r="P26" s="3"/>
      <c r="Q26" s="137">
        <v>42955.125011574099</v>
      </c>
      <c r="R26" s="125">
        <v>20.409197680228999</v>
      </c>
      <c r="S26" s="137">
        <v>42955.125011574099</v>
      </c>
      <c r="T26" s="125">
        <v>20.212842428777702</v>
      </c>
    </row>
    <row r="27" spans="2:20" x14ac:dyDescent="0.25">
      <c r="B27" s="96">
        <v>41832.416666666664</v>
      </c>
      <c r="C27" s="126">
        <v>23.9451797957386</v>
      </c>
      <c r="D27" s="96">
        <v>41832.416666666664</v>
      </c>
      <c r="E27" s="127">
        <v>20.82</v>
      </c>
      <c r="F27" s="9"/>
      <c r="G27" s="137">
        <v>42934.041678240697</v>
      </c>
      <c r="H27" s="125">
        <v>21.098574725308001</v>
      </c>
      <c r="I27" s="137">
        <v>42934.041678240697</v>
      </c>
      <c r="J27" s="125">
        <v>20.838169019116101</v>
      </c>
      <c r="K27" s="9"/>
      <c r="L27" s="138">
        <v>41450.416666666664</v>
      </c>
      <c r="M27" s="93">
        <v>23.5</v>
      </c>
      <c r="N27" s="138">
        <v>41450.416666666664</v>
      </c>
      <c r="O27" s="93">
        <v>15.39</v>
      </c>
      <c r="P27" s="3"/>
      <c r="Q27" s="137">
        <v>42955.145844907398</v>
      </c>
      <c r="R27" s="125">
        <v>20.471868148850401</v>
      </c>
      <c r="S27" s="137">
        <v>42955.145844907398</v>
      </c>
      <c r="T27" s="125">
        <v>20.212842428777702</v>
      </c>
    </row>
    <row r="28" spans="2:20" x14ac:dyDescent="0.25">
      <c r="B28" s="96">
        <v>41832.458333333336</v>
      </c>
      <c r="C28" s="126">
        <v>24.257735993516398</v>
      </c>
      <c r="D28" s="96">
        <v>41832.458333333336</v>
      </c>
      <c r="E28" s="127">
        <v>20.82</v>
      </c>
      <c r="F28" s="9"/>
      <c r="G28" s="137">
        <v>42934.062511574099</v>
      </c>
      <c r="H28" s="125">
        <v>21.035903913189401</v>
      </c>
      <c r="I28" s="137">
        <v>42934.062511574099</v>
      </c>
      <c r="J28" s="125">
        <v>20.7756398921467</v>
      </c>
      <c r="K28" s="9"/>
      <c r="L28" s="138">
        <v>41450.458333333336</v>
      </c>
      <c r="M28" s="93">
        <v>24.31</v>
      </c>
      <c r="N28" s="138">
        <v>41450.458333333336</v>
      </c>
      <c r="O28" s="93">
        <v>15.39</v>
      </c>
      <c r="P28" s="3"/>
      <c r="Q28" s="137">
        <v>42955.166678240697</v>
      </c>
      <c r="R28" s="125">
        <v>20.534538651876598</v>
      </c>
      <c r="S28" s="137">
        <v>42955.166678240697</v>
      </c>
      <c r="T28" s="125">
        <v>20.212842428777702</v>
      </c>
    </row>
    <row r="29" spans="2:20" x14ac:dyDescent="0.25">
      <c r="B29" s="96">
        <v>41832.5</v>
      </c>
      <c r="C29" s="126">
        <v>24.507769894549799</v>
      </c>
      <c r="D29" s="96">
        <v>41832.5</v>
      </c>
      <c r="E29" s="127">
        <v>20.82</v>
      </c>
      <c r="F29" s="9"/>
      <c r="G29" s="137">
        <v>42934.083344907398</v>
      </c>
      <c r="H29" s="125">
        <v>21.035903913189401</v>
      </c>
      <c r="I29" s="137">
        <v>42934.083344907398</v>
      </c>
      <c r="J29" s="125">
        <v>20.7756398921467</v>
      </c>
      <c r="K29" s="9"/>
      <c r="L29" s="138">
        <v>41450.5</v>
      </c>
      <c r="M29" s="93">
        <v>24.62</v>
      </c>
      <c r="N29" s="138">
        <v>41450.5</v>
      </c>
      <c r="O29" s="93">
        <v>15.39</v>
      </c>
      <c r="P29" s="3"/>
      <c r="Q29" s="137">
        <v>42955.187511574099</v>
      </c>
      <c r="R29" s="125">
        <v>20.597209189295299</v>
      </c>
      <c r="S29" s="137">
        <v>42955.187511574099</v>
      </c>
      <c r="T29" s="125">
        <v>20.212842428777702</v>
      </c>
    </row>
    <row r="30" spans="2:20" x14ac:dyDescent="0.25">
      <c r="B30" s="96">
        <v>41832.541666666664</v>
      </c>
      <c r="C30" s="126">
        <v>24.695288870298199</v>
      </c>
      <c r="D30" s="96">
        <v>41832.541666666664</v>
      </c>
      <c r="E30" s="127">
        <v>20.82</v>
      </c>
      <c r="F30" s="9"/>
      <c r="G30" s="137">
        <v>42934.104178240697</v>
      </c>
      <c r="H30" s="125">
        <v>20.973233135365401</v>
      </c>
      <c r="I30" s="137">
        <v>42934.104178240697</v>
      </c>
      <c r="J30" s="125">
        <v>20.7756398921467</v>
      </c>
      <c r="K30" s="9"/>
      <c r="L30" s="138">
        <v>41450.541666666664</v>
      </c>
      <c r="M30" s="93">
        <v>25.19</v>
      </c>
      <c r="N30" s="138">
        <v>41450.541666666664</v>
      </c>
      <c r="O30" s="93">
        <v>15.39</v>
      </c>
      <c r="P30" s="3"/>
      <c r="Q30" s="137">
        <v>42955.208344907398</v>
      </c>
      <c r="R30" s="125">
        <v>20.659879761094199</v>
      </c>
      <c r="S30" s="137">
        <v>42955.208344907398</v>
      </c>
      <c r="T30" s="125">
        <v>20.212842428777702</v>
      </c>
    </row>
    <row r="31" spans="2:20" x14ac:dyDescent="0.25">
      <c r="B31" s="96">
        <v>41832.583333333336</v>
      </c>
      <c r="C31" s="126">
        <v>24.8202984493558</v>
      </c>
      <c r="D31" s="96">
        <v>41832.583333333336</v>
      </c>
      <c r="E31" s="127">
        <v>20.88</v>
      </c>
      <c r="F31" s="9"/>
      <c r="G31" s="137">
        <v>42934.125011574099</v>
      </c>
      <c r="H31" s="125">
        <v>20.910562391848401</v>
      </c>
      <c r="I31" s="137">
        <v>42934.125011574099</v>
      </c>
      <c r="J31" s="125">
        <v>20.7756398921467</v>
      </c>
      <c r="K31" s="9"/>
      <c r="L31" s="138">
        <v>41450.583333333336</v>
      </c>
      <c r="M31" s="93">
        <v>24.56</v>
      </c>
      <c r="N31" s="138">
        <v>41450.583333333336</v>
      </c>
      <c r="O31" s="93">
        <v>15.45</v>
      </c>
      <c r="P31" s="3"/>
      <c r="Q31" s="137">
        <v>42955.229178240697</v>
      </c>
      <c r="R31" s="125">
        <v>20.722550367261199</v>
      </c>
      <c r="S31" s="137">
        <v>42955.229178240697</v>
      </c>
      <c r="T31" s="125">
        <v>20.212842428777702</v>
      </c>
    </row>
    <row r="32" spans="2:20" x14ac:dyDescent="0.25">
      <c r="B32" s="96">
        <v>41832.625</v>
      </c>
      <c r="C32" s="126">
        <v>24.8828023174522</v>
      </c>
      <c r="D32" s="96">
        <v>41832.625</v>
      </c>
      <c r="E32" s="127">
        <v>20.88</v>
      </c>
      <c r="F32" s="9"/>
      <c r="G32" s="137">
        <v>42934.145844907398</v>
      </c>
      <c r="H32" s="125">
        <v>20.847891682650602</v>
      </c>
      <c r="I32" s="137">
        <v>42934.145844907398</v>
      </c>
      <c r="J32" s="125">
        <v>20.7756398921467</v>
      </c>
      <c r="K32" s="9"/>
      <c r="L32" s="138">
        <v>41450.625</v>
      </c>
      <c r="M32" s="93">
        <v>24.87</v>
      </c>
      <c r="N32" s="138">
        <v>41450.625</v>
      </c>
      <c r="O32" s="93">
        <v>15.51</v>
      </c>
      <c r="P32" s="3"/>
      <c r="Q32" s="137">
        <v>42955.250011574099</v>
      </c>
      <c r="R32" s="125">
        <v>20.785221007784099</v>
      </c>
      <c r="S32" s="137">
        <v>42955.250011574099</v>
      </c>
      <c r="T32" s="125">
        <v>20.2753786199026</v>
      </c>
    </row>
    <row r="33" spans="2:20" x14ac:dyDescent="0.25">
      <c r="B33" s="96">
        <v>41832.666666666664</v>
      </c>
      <c r="C33" s="126">
        <v>24.8828023174522</v>
      </c>
      <c r="D33" s="96">
        <v>41832.666666666664</v>
      </c>
      <c r="E33" s="127">
        <v>20.94</v>
      </c>
      <c r="F33" s="9"/>
      <c r="G33" s="137">
        <v>42934.166678240697</v>
      </c>
      <c r="H33" s="125">
        <v>20.785221007784099</v>
      </c>
      <c r="I33" s="137">
        <v>42934.166678240697</v>
      </c>
      <c r="J33" s="125">
        <v>20.7756398921467</v>
      </c>
      <c r="K33" s="9"/>
      <c r="L33" s="138">
        <v>41450.666666666664</v>
      </c>
      <c r="M33" s="93">
        <v>24.69</v>
      </c>
      <c r="N33" s="138">
        <v>41450.666666666664</v>
      </c>
      <c r="O33" s="93">
        <v>15.57</v>
      </c>
      <c r="P33" s="3"/>
      <c r="Q33" s="137">
        <v>42955.270844907398</v>
      </c>
      <c r="R33" s="125">
        <v>20.847891682650602</v>
      </c>
      <c r="S33" s="137">
        <v>42955.270844907398</v>
      </c>
      <c r="T33" s="125">
        <v>20.2753786199026</v>
      </c>
    </row>
    <row r="34" spans="2:20" x14ac:dyDescent="0.25">
      <c r="B34" s="96">
        <v>41832.708333333336</v>
      </c>
      <c r="C34" s="126">
        <v>24.8828023174522</v>
      </c>
      <c r="D34" s="96">
        <v>41832.708333333336</v>
      </c>
      <c r="E34" s="127">
        <v>20.94</v>
      </c>
      <c r="F34" s="9"/>
      <c r="G34" s="137">
        <v>42934.187511574099</v>
      </c>
      <c r="H34" s="125">
        <v>20.659879761094199</v>
      </c>
      <c r="I34" s="137">
        <v>42934.187511574099</v>
      </c>
      <c r="J34" s="125">
        <v>20.7756398921467</v>
      </c>
      <c r="K34" s="9"/>
      <c r="L34" s="138">
        <v>41450.708333333336</v>
      </c>
      <c r="M34" s="93">
        <v>23.69</v>
      </c>
      <c r="N34" s="138">
        <v>41450.708333333336</v>
      </c>
      <c r="O34" s="93">
        <v>15.64</v>
      </c>
      <c r="P34" s="3"/>
      <c r="Q34" s="137">
        <v>42955.291678240697</v>
      </c>
      <c r="R34" s="125">
        <v>20.847891682650602</v>
      </c>
      <c r="S34" s="137">
        <v>42955.291678240697</v>
      </c>
      <c r="T34" s="125">
        <v>20.3379140261125</v>
      </c>
    </row>
    <row r="35" spans="2:20" x14ac:dyDescent="0.25">
      <c r="B35" s="96">
        <v>41832.75</v>
      </c>
      <c r="C35" s="126">
        <v>24.7577939669711</v>
      </c>
      <c r="D35" s="96">
        <v>41832.75</v>
      </c>
      <c r="E35" s="127">
        <v>21.01</v>
      </c>
      <c r="F35" s="9"/>
      <c r="G35" s="137">
        <v>42934.208344907398</v>
      </c>
      <c r="H35" s="125">
        <v>20.534538651876598</v>
      </c>
      <c r="I35" s="137">
        <v>42934.208344907398</v>
      </c>
      <c r="J35" s="125">
        <v>20.713109980279999</v>
      </c>
      <c r="K35" s="9"/>
      <c r="L35" s="138">
        <v>41450.75</v>
      </c>
      <c r="M35" s="93">
        <v>23.31</v>
      </c>
      <c r="N35" s="138">
        <v>41450.75</v>
      </c>
      <c r="O35" s="93">
        <v>15.7</v>
      </c>
      <c r="P35" s="3"/>
      <c r="Q35" s="137">
        <v>42955.312511574099</v>
      </c>
      <c r="R35" s="125">
        <v>20.910562391848401</v>
      </c>
      <c r="S35" s="137">
        <v>42955.312511574099</v>
      </c>
      <c r="T35" s="125">
        <v>20.3379140261125</v>
      </c>
    </row>
    <row r="36" spans="2:20" x14ac:dyDescent="0.25">
      <c r="B36" s="96">
        <v>41832.791666666664</v>
      </c>
      <c r="C36" s="126">
        <v>24.632783159336999</v>
      </c>
      <c r="D36" s="96">
        <v>41832.791666666664</v>
      </c>
      <c r="E36" s="127">
        <v>21.01</v>
      </c>
      <c r="F36" s="9"/>
      <c r="G36" s="137">
        <v>42934.229178240697</v>
      </c>
      <c r="H36" s="125">
        <v>20.409197680228999</v>
      </c>
      <c r="I36" s="137">
        <v>42934.229178240697</v>
      </c>
      <c r="J36" s="125">
        <v>20.713109980279999</v>
      </c>
      <c r="K36" s="9"/>
      <c r="L36" s="138">
        <v>41450.791666666664</v>
      </c>
      <c r="M36" s="93">
        <v>22.68</v>
      </c>
      <c r="N36" s="138">
        <v>41450.791666666664</v>
      </c>
      <c r="O36" s="93">
        <v>15.7</v>
      </c>
      <c r="P36" s="3"/>
      <c r="Q36" s="137">
        <v>42955.333344907398</v>
      </c>
      <c r="R36" s="125">
        <v>20.973233135365401</v>
      </c>
      <c r="S36" s="137">
        <v>42955.333344907398</v>
      </c>
      <c r="T36" s="125">
        <v>20.3379140261125</v>
      </c>
    </row>
    <row r="37" spans="2:20" x14ac:dyDescent="0.25">
      <c r="B37" s="96">
        <v>41832.833333333336</v>
      </c>
      <c r="C37" s="126">
        <v>24.507769894549799</v>
      </c>
      <c r="D37" s="96">
        <v>41832.833333333336</v>
      </c>
      <c r="E37" s="127">
        <v>21.07</v>
      </c>
      <c r="F37" s="9"/>
      <c r="G37" s="137">
        <v>42934.250011574099</v>
      </c>
      <c r="H37" s="125">
        <v>20.3465272460245</v>
      </c>
      <c r="I37" s="137">
        <v>42934.250011574099</v>
      </c>
      <c r="J37" s="125">
        <v>20.6505792835138</v>
      </c>
      <c r="K37" s="9"/>
      <c r="L37" s="138">
        <v>41450.833333333336</v>
      </c>
      <c r="M37" s="93">
        <v>22.56</v>
      </c>
      <c r="N37" s="138">
        <v>41450.833333333336</v>
      </c>
      <c r="O37" s="93">
        <v>15.76</v>
      </c>
      <c r="P37" s="3"/>
      <c r="Q37" s="137">
        <v>42955.354178240697</v>
      </c>
      <c r="R37" s="125">
        <v>21.098574725308001</v>
      </c>
      <c r="S37" s="137">
        <v>42955.354178240697</v>
      </c>
      <c r="T37" s="125">
        <v>20.3379140261125</v>
      </c>
    </row>
    <row r="38" spans="2:20" x14ac:dyDescent="0.25">
      <c r="B38" s="96">
        <v>41832.875</v>
      </c>
      <c r="C38" s="126">
        <v>24.4452623407239</v>
      </c>
      <c r="D38" s="96">
        <v>41832.875</v>
      </c>
      <c r="E38" s="127">
        <v>21.07</v>
      </c>
      <c r="F38" s="9"/>
      <c r="G38" s="137">
        <v>42934.270844907398</v>
      </c>
      <c r="H38" s="125">
        <v>20.283856846249201</v>
      </c>
      <c r="I38" s="137">
        <v>42934.270844907398</v>
      </c>
      <c r="J38" s="125">
        <v>20.6505792835138</v>
      </c>
      <c r="K38" s="9"/>
      <c r="L38" s="138">
        <v>41450.875</v>
      </c>
      <c r="M38" s="93">
        <v>22.5</v>
      </c>
      <c r="N38" s="138">
        <v>41450.875</v>
      </c>
      <c r="O38" s="93">
        <v>15.76</v>
      </c>
      <c r="P38" s="3"/>
      <c r="Q38" s="137">
        <v>42955.375011574099</v>
      </c>
      <c r="R38" s="125">
        <v>21.098574725308001</v>
      </c>
      <c r="S38" s="137">
        <v>42955.375011574099</v>
      </c>
      <c r="T38" s="125">
        <v>20.400448647409601</v>
      </c>
    </row>
    <row r="39" spans="2:20" x14ac:dyDescent="0.25">
      <c r="B39" s="96">
        <v>41832.916666666664</v>
      </c>
      <c r="C39" s="126">
        <v>24.320245390207099</v>
      </c>
      <c r="D39" s="96">
        <v>41832.916666666664</v>
      </c>
      <c r="E39" s="127">
        <v>21.07</v>
      </c>
      <c r="F39" s="9"/>
      <c r="G39" s="137">
        <v>42934.291678240697</v>
      </c>
      <c r="H39" s="125">
        <v>20.283856846249201</v>
      </c>
      <c r="I39" s="137">
        <v>42934.291678240697</v>
      </c>
      <c r="J39" s="125">
        <v>20.6505792835138</v>
      </c>
      <c r="K39" s="9"/>
      <c r="L39" s="138">
        <v>41450.916666666664</v>
      </c>
      <c r="M39" s="93">
        <v>22.18</v>
      </c>
      <c r="N39" s="138">
        <v>41450.916666666664</v>
      </c>
      <c r="O39" s="93">
        <v>15.82</v>
      </c>
      <c r="P39" s="3"/>
      <c r="Q39" s="137">
        <v>42955.395844907398</v>
      </c>
      <c r="R39" s="125">
        <v>21.2239164523806</v>
      </c>
      <c r="S39" s="137">
        <v>42955.395844907398</v>
      </c>
      <c r="T39" s="125">
        <v>20.400448647409601</v>
      </c>
    </row>
    <row r="40" spans="2:20" x14ac:dyDescent="0.25">
      <c r="B40" s="96">
        <v>41832.958333333336</v>
      </c>
      <c r="C40" s="126">
        <v>24.195225982537298</v>
      </c>
      <c r="D40" s="96">
        <v>41832.958333333336</v>
      </c>
      <c r="E40" s="127">
        <v>21.07</v>
      </c>
      <c r="F40" s="9"/>
      <c r="G40" s="137">
        <v>42934.312511574099</v>
      </c>
      <c r="H40" s="125">
        <v>20.283856846249201</v>
      </c>
      <c r="I40" s="137">
        <v>42934.312511574099</v>
      </c>
      <c r="J40" s="125">
        <v>20.588047801845899</v>
      </c>
      <c r="K40" s="9"/>
      <c r="L40" s="138">
        <v>41450.958333333336</v>
      </c>
      <c r="M40" s="93">
        <v>22.5</v>
      </c>
      <c r="N40" s="138">
        <v>41450.958333333336</v>
      </c>
      <c r="O40" s="93">
        <v>15.82</v>
      </c>
      <c r="P40" s="3"/>
      <c r="Q40" s="137">
        <v>42955.416678240697</v>
      </c>
      <c r="R40" s="125">
        <v>21.286587367309998</v>
      </c>
      <c r="S40" s="137">
        <v>42955.416678240697</v>
      </c>
      <c r="T40" s="125">
        <v>20.462982483796001</v>
      </c>
    </row>
    <row r="41" spans="2:20" x14ac:dyDescent="0.25">
      <c r="B41" s="96">
        <v>41833</v>
      </c>
      <c r="C41" s="126">
        <v>24.132715357270101</v>
      </c>
      <c r="D41" s="96">
        <v>41833</v>
      </c>
      <c r="E41" s="127">
        <v>21.01</v>
      </c>
      <c r="F41" s="9"/>
      <c r="G41" s="137">
        <v>42934.333344907398</v>
      </c>
      <c r="H41" s="125">
        <v>20.283856846249201</v>
      </c>
      <c r="I41" s="137">
        <v>42934.333344907398</v>
      </c>
      <c r="J41" s="125">
        <v>20.525515535274</v>
      </c>
      <c r="K41" s="9"/>
      <c r="L41" s="138">
        <v>41451</v>
      </c>
      <c r="M41" s="121">
        <v>21.87</v>
      </c>
      <c r="N41" s="138">
        <v>41451</v>
      </c>
      <c r="O41" s="121">
        <v>15.76</v>
      </c>
      <c r="P41" s="3"/>
      <c r="Q41" s="137">
        <v>42955.437511574099</v>
      </c>
      <c r="R41" s="125">
        <v>21.286587367309998</v>
      </c>
      <c r="S41" s="137">
        <v>42955.437511574099</v>
      </c>
      <c r="T41" s="125">
        <v>20.462982483796001</v>
      </c>
    </row>
    <row r="42" spans="2:20" x14ac:dyDescent="0.25">
      <c r="G42" s="124">
        <v>42934.354178240697</v>
      </c>
      <c r="H42" s="125">
        <v>20.3465272460245</v>
      </c>
      <c r="I42" s="124">
        <v>42934.354178240697</v>
      </c>
      <c r="J42" s="125">
        <v>20.525515535274</v>
      </c>
      <c r="Q42" s="124">
        <v>42955.458344907398</v>
      </c>
      <c r="R42" s="125">
        <v>21.286587367309998</v>
      </c>
      <c r="S42" s="124">
        <v>42955.458344907398</v>
      </c>
      <c r="T42" s="125">
        <v>20.525515535274</v>
      </c>
    </row>
    <row r="43" spans="2:20" x14ac:dyDescent="0.25">
      <c r="G43" s="124">
        <v>42934.375011574099</v>
      </c>
      <c r="H43" s="125">
        <v>20.409197680228999</v>
      </c>
      <c r="I43" s="124">
        <v>42934.375011574099</v>
      </c>
      <c r="J43" s="125">
        <v>20.525515535274</v>
      </c>
      <c r="Q43" s="124">
        <v>42955.479178240697</v>
      </c>
      <c r="R43" s="125">
        <v>21.286587367309998</v>
      </c>
      <c r="S43" s="124">
        <v>42955.479178240697</v>
      </c>
      <c r="T43" s="125">
        <v>20.525515535274</v>
      </c>
    </row>
    <row r="44" spans="2:20" x14ac:dyDescent="0.25">
      <c r="G44" s="124">
        <v>42934.395844907398</v>
      </c>
      <c r="H44" s="125">
        <v>20.471868148850401</v>
      </c>
      <c r="I44" s="124">
        <v>42934.395844907398</v>
      </c>
      <c r="J44" s="125">
        <v>20.462982483796001</v>
      </c>
      <c r="Q44" s="124">
        <v>42955.500011574099</v>
      </c>
      <c r="R44" s="125">
        <v>21.2239164523806</v>
      </c>
      <c r="S44" s="124">
        <v>42955.500011574099</v>
      </c>
      <c r="T44" s="125">
        <v>20.525515535274</v>
      </c>
    </row>
    <row r="45" spans="2:20" x14ac:dyDescent="0.25">
      <c r="G45" s="124">
        <v>42934.416678240697</v>
      </c>
      <c r="H45" s="125">
        <v>20.534538651876598</v>
      </c>
      <c r="I45" s="124">
        <v>42934.416678240697</v>
      </c>
      <c r="J45" s="125">
        <v>20.462982483796001</v>
      </c>
      <c r="Q45" s="124">
        <v>42955.520844907398</v>
      </c>
      <c r="R45" s="125">
        <v>21.161245571709198</v>
      </c>
      <c r="S45" s="124">
        <v>42955.520844907398</v>
      </c>
      <c r="T45" s="125">
        <v>20.588047801845899</v>
      </c>
    </row>
    <row r="46" spans="2:20" x14ac:dyDescent="0.25">
      <c r="G46" s="124">
        <v>42934.437511574099</v>
      </c>
      <c r="H46" s="125">
        <v>20.534538651876598</v>
      </c>
      <c r="I46" s="124">
        <v>42934.437511574099</v>
      </c>
      <c r="J46" s="125">
        <v>20.462982483796001</v>
      </c>
      <c r="Q46" s="124">
        <v>42955.541678240697</v>
      </c>
      <c r="R46" s="125">
        <v>21.098574725308001</v>
      </c>
      <c r="S46" s="124">
        <v>42955.541678240697</v>
      </c>
      <c r="T46" s="125">
        <v>20.588047801845899</v>
      </c>
    </row>
    <row r="47" spans="2:20" x14ac:dyDescent="0.25">
      <c r="G47" s="124">
        <v>42934.458344907398</v>
      </c>
      <c r="H47" s="125">
        <v>20.534538651876598</v>
      </c>
      <c r="I47" s="124">
        <v>42934.458344907398</v>
      </c>
      <c r="J47" s="125">
        <v>20.462982483796001</v>
      </c>
      <c r="Q47" s="124">
        <v>42955.562511574099</v>
      </c>
      <c r="R47" s="125">
        <v>21.098574725308001</v>
      </c>
      <c r="S47" s="124">
        <v>42955.562511574099</v>
      </c>
      <c r="T47" s="125">
        <v>20.588047801845899</v>
      </c>
    </row>
    <row r="48" spans="2:20" x14ac:dyDescent="0.25">
      <c r="G48" s="124">
        <v>42934.479178240697</v>
      </c>
      <c r="H48" s="125">
        <v>20.597209189295299</v>
      </c>
      <c r="I48" s="124">
        <v>42934.479178240697</v>
      </c>
      <c r="J48" s="125">
        <v>20.462982483796001</v>
      </c>
      <c r="Q48" s="124">
        <v>42955.583344907398</v>
      </c>
      <c r="R48" s="125">
        <v>21.035903913189401</v>
      </c>
      <c r="S48" s="124">
        <v>42955.583344907398</v>
      </c>
      <c r="T48" s="125">
        <v>20.588047801845899</v>
      </c>
    </row>
    <row r="49" spans="7:20" x14ac:dyDescent="0.25">
      <c r="G49" s="124">
        <v>42934.500011574099</v>
      </c>
      <c r="H49" s="125">
        <v>20.597209189295299</v>
      </c>
      <c r="I49" s="124">
        <v>42934.500011574099</v>
      </c>
      <c r="J49" s="125">
        <v>20.462982483796001</v>
      </c>
      <c r="Q49" s="124">
        <v>42955.604178240697</v>
      </c>
      <c r="R49" s="125">
        <v>21.035903913189401</v>
      </c>
      <c r="S49" s="124">
        <v>42955.604178240697</v>
      </c>
      <c r="T49" s="125">
        <v>20.6505792835138</v>
      </c>
    </row>
    <row r="50" spans="7:20" x14ac:dyDescent="0.25">
      <c r="G50" s="124">
        <v>42934.520844907398</v>
      </c>
      <c r="H50" s="125">
        <v>20.597209189295299</v>
      </c>
      <c r="I50" s="124">
        <v>42934.520844907398</v>
      </c>
      <c r="J50" s="125">
        <v>20.462982483796001</v>
      </c>
      <c r="Q50" s="124">
        <v>42955.625011574099</v>
      </c>
      <c r="R50" s="125">
        <v>21.035903913189401</v>
      </c>
      <c r="S50" s="124">
        <v>42955.625011574099</v>
      </c>
      <c r="T50" s="125">
        <v>20.6505792835138</v>
      </c>
    </row>
    <row r="51" spans="7:20" x14ac:dyDescent="0.25">
      <c r="G51" s="124">
        <v>42934.541678240697</v>
      </c>
      <c r="H51" s="125">
        <v>20.659879761094199</v>
      </c>
      <c r="I51" s="124">
        <v>42934.541678240697</v>
      </c>
      <c r="J51" s="125">
        <v>20.462982483796001</v>
      </c>
      <c r="Q51" s="124">
        <v>42955.645844907398</v>
      </c>
      <c r="R51" s="125">
        <v>21.035903913189401</v>
      </c>
      <c r="S51" s="124">
        <v>42955.645844907398</v>
      </c>
      <c r="T51" s="125">
        <v>20.6505792835138</v>
      </c>
    </row>
    <row r="52" spans="7:20" x14ac:dyDescent="0.25">
      <c r="G52" s="124">
        <v>42934.562511574099</v>
      </c>
      <c r="H52" s="125">
        <v>20.785221007784099</v>
      </c>
      <c r="I52" s="124">
        <v>42934.562511574099</v>
      </c>
      <c r="J52" s="125">
        <v>20.462982483796001</v>
      </c>
      <c r="Q52" s="124">
        <v>42955.666678240697</v>
      </c>
      <c r="R52" s="125">
        <v>21.035903913189401</v>
      </c>
      <c r="S52" s="124">
        <v>42955.666678240697</v>
      </c>
      <c r="T52" s="125">
        <v>20.6505792835138</v>
      </c>
    </row>
    <row r="53" spans="7:20" x14ac:dyDescent="0.25">
      <c r="G53" s="124">
        <v>42934.583344907398</v>
      </c>
      <c r="H53" s="125">
        <v>20.785221007784099</v>
      </c>
      <c r="I53" s="124">
        <v>42934.583344907398</v>
      </c>
      <c r="J53" s="125">
        <v>20.462982483796001</v>
      </c>
      <c r="Q53" s="124">
        <v>42955.687511574099</v>
      </c>
      <c r="R53" s="125">
        <v>20.973233135365401</v>
      </c>
      <c r="S53" s="124">
        <v>42955.687511574099</v>
      </c>
      <c r="T53" s="125">
        <v>20.6505792835138</v>
      </c>
    </row>
    <row r="54" spans="7:20" x14ac:dyDescent="0.25">
      <c r="G54" s="124">
        <v>42934.604178240697</v>
      </c>
      <c r="H54" s="125">
        <v>20.847891682650602</v>
      </c>
      <c r="I54" s="124">
        <v>42934.604178240697</v>
      </c>
      <c r="J54" s="125">
        <v>20.462982483796001</v>
      </c>
      <c r="Q54" s="124">
        <v>42955.708344907398</v>
      </c>
      <c r="R54" s="125">
        <v>20.973233135365401</v>
      </c>
      <c r="S54" s="124">
        <v>42955.708344907398</v>
      </c>
      <c r="T54" s="125">
        <v>20.6505792835138</v>
      </c>
    </row>
    <row r="55" spans="7:20" x14ac:dyDescent="0.25">
      <c r="G55" s="124">
        <v>42934.625011574099</v>
      </c>
      <c r="H55" s="125">
        <v>20.910562391848401</v>
      </c>
      <c r="I55" s="124">
        <v>42934.625011574099</v>
      </c>
      <c r="J55" s="125">
        <v>20.462982483796001</v>
      </c>
      <c r="Q55" s="124">
        <v>42955.729178240697</v>
      </c>
      <c r="R55" s="125">
        <v>20.910562391848401</v>
      </c>
      <c r="S55" s="124">
        <v>42955.729178240697</v>
      </c>
      <c r="T55" s="125">
        <v>20.6505792835138</v>
      </c>
    </row>
    <row r="56" spans="7:20" x14ac:dyDescent="0.25">
      <c r="G56" s="124">
        <v>42934.645844907398</v>
      </c>
      <c r="H56" s="125">
        <v>20.910562391848401</v>
      </c>
      <c r="I56" s="124">
        <v>42934.645844907398</v>
      </c>
      <c r="J56" s="125">
        <v>20.462982483796001</v>
      </c>
      <c r="Q56" s="124">
        <v>42955.750011574099</v>
      </c>
      <c r="R56" s="125">
        <v>20.847891682650602</v>
      </c>
      <c r="S56" s="124">
        <v>42955.750011574099</v>
      </c>
      <c r="T56" s="125">
        <v>20.6505792835138</v>
      </c>
    </row>
    <row r="57" spans="7:20" x14ac:dyDescent="0.25">
      <c r="G57" s="124">
        <v>42934.666678240697</v>
      </c>
      <c r="H57" s="125">
        <v>20.910562391848401</v>
      </c>
      <c r="I57" s="124">
        <v>42934.666678240697</v>
      </c>
      <c r="J57" s="125">
        <v>20.525515535274</v>
      </c>
      <c r="Q57" s="124">
        <v>42955.770844907398</v>
      </c>
      <c r="R57" s="125">
        <v>20.722550367261199</v>
      </c>
      <c r="S57" s="124">
        <v>42955.770844907398</v>
      </c>
      <c r="T57" s="125">
        <v>20.6505792835138</v>
      </c>
    </row>
    <row r="58" spans="7:20" x14ac:dyDescent="0.25">
      <c r="G58" s="124">
        <v>42934.687511574099</v>
      </c>
      <c r="H58" s="125">
        <v>20.973233135365401</v>
      </c>
      <c r="I58" s="124">
        <v>42934.687511574099</v>
      </c>
      <c r="J58" s="125">
        <v>20.525515535274</v>
      </c>
      <c r="Q58" s="124">
        <v>42955.791678240697</v>
      </c>
      <c r="R58" s="125">
        <v>20.597209189295299</v>
      </c>
      <c r="S58" s="124">
        <v>42955.791678240697</v>
      </c>
      <c r="T58" s="125">
        <v>20.588047801845899</v>
      </c>
    </row>
    <row r="59" spans="7:20" x14ac:dyDescent="0.25">
      <c r="G59" s="124">
        <v>42934.708344907398</v>
      </c>
      <c r="H59" s="125">
        <v>21.035903913189401</v>
      </c>
      <c r="I59" s="124">
        <v>42934.708344907398</v>
      </c>
      <c r="J59" s="125">
        <v>20.525515535274</v>
      </c>
      <c r="Q59" s="124">
        <v>42955.812511574099</v>
      </c>
      <c r="R59" s="125">
        <v>20.409197680228999</v>
      </c>
      <c r="S59" s="124">
        <v>42955.812511574099</v>
      </c>
      <c r="T59" s="125">
        <v>20.588047801845899</v>
      </c>
    </row>
    <row r="60" spans="7:20" x14ac:dyDescent="0.25">
      <c r="G60" s="124">
        <v>42934.729178240697</v>
      </c>
      <c r="H60" s="125">
        <v>21.035903913189401</v>
      </c>
      <c r="I60" s="124">
        <v>42934.729178240697</v>
      </c>
      <c r="J60" s="125">
        <v>20.525515535274</v>
      </c>
      <c r="Q60" s="124">
        <v>42955.833344907398</v>
      </c>
      <c r="R60" s="125">
        <v>20.2211864809153</v>
      </c>
      <c r="S60" s="124">
        <v>42955.833344907398</v>
      </c>
      <c r="T60" s="125">
        <v>20.588047801845899</v>
      </c>
    </row>
    <row r="61" spans="7:20" x14ac:dyDescent="0.25">
      <c r="G61" s="124">
        <v>42934.750011574099</v>
      </c>
      <c r="H61" s="125">
        <v>21.098574725308001</v>
      </c>
      <c r="I61" s="124">
        <v>42934.750011574099</v>
      </c>
      <c r="J61" s="125">
        <v>20.525515535274</v>
      </c>
      <c r="Q61" s="124">
        <v>42955.854178240697</v>
      </c>
      <c r="R61" s="125">
        <v>20.095845853620599</v>
      </c>
      <c r="S61" s="124">
        <v>42955.854178240697</v>
      </c>
      <c r="T61" s="125">
        <v>20.588047801845899</v>
      </c>
    </row>
    <row r="62" spans="7:20" x14ac:dyDescent="0.25">
      <c r="G62" s="124">
        <v>42934.770844907398</v>
      </c>
      <c r="H62" s="125">
        <v>21.161245571709198</v>
      </c>
      <c r="I62" s="124">
        <v>42934.770844907398</v>
      </c>
      <c r="J62" s="125">
        <v>20.588047801845899</v>
      </c>
      <c r="Q62" s="124">
        <v>42955.875011574099</v>
      </c>
      <c r="R62" s="125">
        <v>19.9705053642382</v>
      </c>
      <c r="S62" s="124">
        <v>42955.875011574099</v>
      </c>
      <c r="T62" s="125">
        <v>20.525515535274</v>
      </c>
    </row>
    <row r="63" spans="7:20" x14ac:dyDescent="0.25">
      <c r="G63" s="124">
        <v>42934.791678240697</v>
      </c>
      <c r="H63" s="125">
        <v>21.2239164523806</v>
      </c>
      <c r="I63" s="124">
        <v>42934.791678240697</v>
      </c>
      <c r="J63" s="125">
        <v>20.588047801845899</v>
      </c>
      <c r="Q63" s="124">
        <v>42955.895844907398</v>
      </c>
      <c r="R63" s="125">
        <v>19.9705053642382</v>
      </c>
      <c r="S63" s="124">
        <v>42955.895844907398</v>
      </c>
      <c r="T63" s="125">
        <v>20.462982483796001</v>
      </c>
    </row>
    <row r="64" spans="7:20" x14ac:dyDescent="0.25">
      <c r="G64" s="124">
        <v>42934.812511574099</v>
      </c>
      <c r="H64" s="125">
        <v>21.286587367309998</v>
      </c>
      <c r="I64" s="124">
        <v>42934.812511574099</v>
      </c>
      <c r="J64" s="125">
        <v>20.588047801845899</v>
      </c>
      <c r="Q64" s="124">
        <v>42955.916678240697</v>
      </c>
      <c r="R64" s="125">
        <v>20.033175591684302</v>
      </c>
      <c r="S64" s="124">
        <v>42955.916678240697</v>
      </c>
      <c r="T64" s="125">
        <v>20.462982483796001</v>
      </c>
    </row>
    <row r="65" spans="7:20" x14ac:dyDescent="0.25">
      <c r="G65" s="124">
        <v>42934.833344907398</v>
      </c>
      <c r="H65" s="125">
        <v>21.286587367309998</v>
      </c>
      <c r="I65" s="124">
        <v>42934.833344907398</v>
      </c>
      <c r="J65" s="125">
        <v>20.6505792835138</v>
      </c>
      <c r="Q65" s="124">
        <v>42955.937511574099</v>
      </c>
      <c r="R65" s="125">
        <v>20.095845853620599</v>
      </c>
      <c r="S65" s="124">
        <v>42955.937511574099</v>
      </c>
      <c r="T65" s="125">
        <v>20.400448647409601</v>
      </c>
    </row>
  </sheetData>
  <dataValidations count="1">
    <dataValidation type="decimal" showInputMessage="1" showErrorMessage="1" error="This cell must contain a positive number between 0 and 1." sqref="C4 M4 R4 H4" xr:uid="{00000000-0002-0000-0400-000000000000}">
      <formula1>0</formula1>
      <formula2>1</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Z55"/>
  <sheetViews>
    <sheetView workbookViewId="0">
      <selection activeCell="O47" sqref="O47"/>
    </sheetView>
  </sheetViews>
  <sheetFormatPr defaultRowHeight="15" x14ac:dyDescent="0.25"/>
  <cols>
    <col min="1" max="1" width="18" customWidth="1"/>
    <col min="2" max="2" width="21.28515625" customWidth="1"/>
    <col min="3" max="3" width="24.28515625" customWidth="1"/>
    <col min="4" max="4" width="12.140625" customWidth="1"/>
    <col min="5" max="5" width="7.140625" customWidth="1"/>
    <col min="6" max="6" width="2.85546875" customWidth="1"/>
    <col min="13" max="13" width="3.140625" customWidth="1"/>
    <col min="15" max="26" width="11.5703125" customWidth="1"/>
  </cols>
  <sheetData>
    <row r="1" spans="1:26" ht="15.75" x14ac:dyDescent="0.25">
      <c r="A1" s="110" t="s">
        <v>51</v>
      </c>
      <c r="C1" s="111"/>
      <c r="D1" s="60" t="s">
        <v>52</v>
      </c>
      <c r="E1" s="111"/>
      <c r="F1" s="111"/>
      <c r="N1" s="56" t="s">
        <v>53</v>
      </c>
    </row>
    <row r="2" spans="1:26" ht="15" customHeight="1" x14ac:dyDescent="0.25">
      <c r="A2" s="111"/>
      <c r="B2" s="111"/>
      <c r="D2" s="56" t="s">
        <v>54</v>
      </c>
      <c r="E2" s="111"/>
      <c r="F2" s="111"/>
      <c r="N2" s="157">
        <v>1</v>
      </c>
      <c r="O2" s="158" t="s">
        <v>55</v>
      </c>
      <c r="P2" s="158"/>
      <c r="Q2" s="158"/>
      <c r="R2" s="158"/>
      <c r="S2" s="158"/>
      <c r="T2" s="158"/>
      <c r="U2" s="158"/>
      <c r="V2" s="158"/>
      <c r="W2" s="158"/>
      <c r="X2" s="158"/>
      <c r="Y2" s="158"/>
      <c r="Z2" s="158"/>
    </row>
    <row r="3" spans="1:26" ht="15" customHeight="1" x14ac:dyDescent="0.25">
      <c r="A3" s="56" t="s">
        <v>13</v>
      </c>
      <c r="B3" s="56" t="s">
        <v>13</v>
      </c>
      <c r="C3" s="60"/>
      <c r="D3" s="56" t="s">
        <v>56</v>
      </c>
      <c r="E3" s="111"/>
      <c r="F3" s="111"/>
      <c r="H3" s="60"/>
      <c r="N3" s="157"/>
      <c r="O3" s="158"/>
      <c r="P3" s="158"/>
      <c r="Q3" s="158"/>
      <c r="R3" s="158"/>
      <c r="S3" s="158"/>
      <c r="T3" s="158"/>
      <c r="U3" s="158"/>
      <c r="V3" s="158"/>
      <c r="W3" s="158"/>
      <c r="X3" s="158"/>
      <c r="Y3" s="158"/>
      <c r="Z3" s="158"/>
    </row>
    <row r="4" spans="1:26" x14ac:dyDescent="0.25">
      <c r="A4" s="56" t="s">
        <v>57</v>
      </c>
      <c r="B4" s="56" t="s">
        <v>58</v>
      </c>
      <c r="C4" s="60" t="s">
        <v>59</v>
      </c>
      <c r="D4" s="56" t="s">
        <v>60</v>
      </c>
      <c r="E4" s="56" t="s">
        <v>61</v>
      </c>
      <c r="F4" s="56"/>
      <c r="G4" s="60"/>
      <c r="H4" s="60"/>
      <c r="N4" s="159">
        <v>2</v>
      </c>
      <c r="O4" s="158" t="s">
        <v>62</v>
      </c>
      <c r="P4" s="158"/>
      <c r="Q4" s="158"/>
      <c r="R4" s="158"/>
      <c r="S4" s="158"/>
      <c r="T4" s="158"/>
      <c r="U4" s="158"/>
      <c r="V4" s="158"/>
      <c r="W4" s="158"/>
      <c r="X4" s="158"/>
      <c r="Y4" s="158"/>
      <c r="Z4" s="158"/>
    </row>
    <row r="5" spans="1:26" x14ac:dyDescent="0.25">
      <c r="A5" s="111" t="s">
        <v>63</v>
      </c>
      <c r="B5" s="111" t="s">
        <v>64</v>
      </c>
      <c r="C5" t="s">
        <v>65</v>
      </c>
      <c r="D5" s="111">
        <v>0.6</v>
      </c>
      <c r="E5" s="111" t="s">
        <v>66</v>
      </c>
      <c r="F5" s="111"/>
      <c r="N5" s="159"/>
      <c r="O5" s="158"/>
      <c r="P5" s="158"/>
      <c r="Q5" s="158"/>
      <c r="R5" s="158"/>
      <c r="S5" s="158"/>
      <c r="T5" s="158"/>
      <c r="U5" s="158"/>
      <c r="V5" s="158"/>
      <c r="W5" s="158"/>
      <c r="X5" s="158"/>
      <c r="Y5" s="158"/>
      <c r="Z5" s="158"/>
    </row>
    <row r="6" spans="1:26" ht="33" customHeight="1" x14ac:dyDescent="0.25">
      <c r="A6" s="112" t="s">
        <v>67</v>
      </c>
      <c r="B6" s="112" t="s">
        <v>68</v>
      </c>
      <c r="C6" s="113" t="s">
        <v>69</v>
      </c>
      <c r="D6" s="114" t="s">
        <v>70</v>
      </c>
      <c r="E6" s="111" t="s">
        <v>71</v>
      </c>
      <c r="F6" s="111"/>
      <c r="N6" s="115">
        <v>3</v>
      </c>
      <c r="O6" s="156" t="s">
        <v>72</v>
      </c>
      <c r="P6" s="156"/>
      <c r="Q6" s="156"/>
      <c r="R6" s="156"/>
      <c r="S6" s="156"/>
      <c r="T6" s="156"/>
      <c r="U6" s="156"/>
      <c r="V6" s="156"/>
      <c r="W6" s="156"/>
      <c r="X6" s="156"/>
      <c r="Y6" s="156"/>
      <c r="Z6" s="156"/>
    </row>
    <row r="7" spans="1:26" ht="33" customHeight="1" x14ac:dyDescent="0.25">
      <c r="A7" s="112" t="s">
        <v>73</v>
      </c>
      <c r="B7" s="112" t="s">
        <v>74</v>
      </c>
      <c r="C7" t="s">
        <v>75</v>
      </c>
      <c r="D7" s="114" t="s">
        <v>76</v>
      </c>
      <c r="E7" s="111">
        <v>11</v>
      </c>
      <c r="F7" s="111"/>
      <c r="N7" s="115">
        <v>4</v>
      </c>
      <c r="O7" s="156" t="s">
        <v>77</v>
      </c>
      <c r="P7" s="156"/>
      <c r="Q7" s="156"/>
      <c r="R7" s="156"/>
      <c r="S7" s="156"/>
      <c r="T7" s="156"/>
      <c r="U7" s="156"/>
      <c r="V7" s="156"/>
      <c r="W7" s="156"/>
      <c r="X7" s="156"/>
      <c r="Y7" s="156"/>
      <c r="Z7" s="156"/>
    </row>
    <row r="8" spans="1:26" ht="33" customHeight="1" x14ac:dyDescent="0.25">
      <c r="A8" s="111" t="s">
        <v>78</v>
      </c>
      <c r="B8" s="111" t="s">
        <v>79</v>
      </c>
      <c r="C8" t="s">
        <v>75</v>
      </c>
      <c r="D8" s="114" t="s">
        <v>80</v>
      </c>
      <c r="E8" s="111">
        <v>7</v>
      </c>
      <c r="F8" s="111"/>
      <c r="N8" s="115">
        <v>5</v>
      </c>
      <c r="O8" s="156" t="s">
        <v>81</v>
      </c>
      <c r="P8" s="156"/>
      <c r="Q8" s="156"/>
      <c r="R8" s="156"/>
      <c r="S8" s="156"/>
      <c r="T8" s="156"/>
      <c r="U8" s="156"/>
      <c r="V8" s="156"/>
      <c r="W8" s="156"/>
      <c r="X8" s="156"/>
      <c r="Y8" s="156"/>
      <c r="Z8" s="156"/>
    </row>
    <row r="9" spans="1:26" ht="33" customHeight="1" x14ac:dyDescent="0.25">
      <c r="A9" s="112" t="s">
        <v>82</v>
      </c>
      <c r="B9" s="112" t="s">
        <v>83</v>
      </c>
      <c r="C9" s="113" t="s">
        <v>75</v>
      </c>
      <c r="D9" s="114" t="s">
        <v>84</v>
      </c>
      <c r="E9" s="111">
        <v>3</v>
      </c>
      <c r="F9" s="111"/>
      <c r="N9" s="115">
        <v>6</v>
      </c>
      <c r="O9" s="156" t="s">
        <v>85</v>
      </c>
      <c r="P9" s="156"/>
      <c r="Q9" s="156"/>
      <c r="R9" s="156"/>
      <c r="S9" s="156"/>
      <c r="T9" s="156"/>
      <c r="U9" s="156"/>
      <c r="V9" s="156"/>
      <c r="W9" s="156"/>
      <c r="X9" s="156"/>
      <c r="Y9" s="156"/>
      <c r="Z9" s="156"/>
    </row>
    <row r="10" spans="1:26" ht="33" customHeight="1" x14ac:dyDescent="0.25">
      <c r="A10" s="112" t="s">
        <v>86</v>
      </c>
      <c r="B10" s="112" t="s">
        <v>87</v>
      </c>
      <c r="C10" s="113" t="s">
        <v>75</v>
      </c>
      <c r="D10" s="114" t="s">
        <v>88</v>
      </c>
      <c r="E10" s="111">
        <v>10</v>
      </c>
      <c r="F10" s="111"/>
      <c r="N10" s="115">
        <v>7</v>
      </c>
      <c r="O10" s="156" t="s">
        <v>89</v>
      </c>
      <c r="P10" s="156"/>
      <c r="Q10" s="156"/>
      <c r="R10" s="156"/>
      <c r="S10" s="156"/>
      <c r="T10" s="156"/>
      <c r="U10" s="156"/>
      <c r="V10" s="156"/>
      <c r="W10" s="156"/>
      <c r="X10" s="156"/>
      <c r="Y10" s="156"/>
      <c r="Z10" s="156"/>
    </row>
    <row r="11" spans="1:26" ht="33" customHeight="1" x14ac:dyDescent="0.25">
      <c r="A11" s="112" t="s">
        <v>90</v>
      </c>
      <c r="B11" s="112" t="s">
        <v>91</v>
      </c>
      <c r="C11" s="113" t="s">
        <v>75</v>
      </c>
      <c r="D11" s="114" t="s">
        <v>92</v>
      </c>
      <c r="E11" s="111">
        <v>9</v>
      </c>
      <c r="F11" s="111"/>
      <c r="N11" s="115">
        <v>8</v>
      </c>
      <c r="O11" s="156" t="s">
        <v>93</v>
      </c>
      <c r="P11" s="156"/>
      <c r="Q11" s="156"/>
      <c r="R11" s="156"/>
      <c r="S11" s="156"/>
      <c r="T11" s="156"/>
      <c r="U11" s="156"/>
      <c r="V11" s="156"/>
      <c r="W11" s="156"/>
      <c r="X11" s="156"/>
      <c r="Y11" s="156"/>
      <c r="Z11" s="156"/>
    </row>
    <row r="12" spans="1:26" ht="33" customHeight="1" x14ac:dyDescent="0.25">
      <c r="A12" s="112" t="s">
        <v>90</v>
      </c>
      <c r="B12" s="112" t="s">
        <v>94</v>
      </c>
      <c r="C12" s="113" t="s">
        <v>75</v>
      </c>
      <c r="D12" s="114" t="s">
        <v>95</v>
      </c>
      <c r="E12" s="111">
        <v>9</v>
      </c>
      <c r="F12" s="111"/>
      <c r="N12" s="115">
        <v>9</v>
      </c>
      <c r="O12" s="156" t="s">
        <v>96</v>
      </c>
      <c r="P12" s="156"/>
      <c r="Q12" s="156"/>
      <c r="R12" s="156"/>
      <c r="S12" s="156"/>
      <c r="T12" s="156"/>
      <c r="U12" s="156"/>
      <c r="V12" s="156"/>
      <c r="W12" s="156"/>
      <c r="X12" s="156"/>
      <c r="Y12" s="156"/>
      <c r="Z12" s="156"/>
    </row>
    <row r="13" spans="1:26" ht="33" customHeight="1" x14ac:dyDescent="0.25">
      <c r="A13" s="112" t="s">
        <v>97</v>
      </c>
      <c r="B13" s="112" t="s">
        <v>94</v>
      </c>
      <c r="C13" s="113" t="s">
        <v>75</v>
      </c>
      <c r="D13" s="114" t="s">
        <v>98</v>
      </c>
      <c r="E13" s="111">
        <v>3</v>
      </c>
      <c r="F13" s="111"/>
      <c r="N13" s="115">
        <v>10</v>
      </c>
      <c r="O13" s="156" t="s">
        <v>99</v>
      </c>
      <c r="P13" s="156"/>
      <c r="Q13" s="156"/>
      <c r="R13" s="156"/>
      <c r="S13" s="156"/>
      <c r="T13" s="156"/>
      <c r="U13" s="156"/>
      <c r="V13" s="156"/>
      <c r="W13" s="156"/>
      <c r="X13" s="156"/>
      <c r="Y13" s="156"/>
      <c r="Z13" s="156"/>
    </row>
    <row r="14" spans="1:26" ht="33" customHeight="1" x14ac:dyDescent="0.25">
      <c r="A14" s="112" t="s">
        <v>100</v>
      </c>
      <c r="B14" s="112" t="s">
        <v>101</v>
      </c>
      <c r="C14" s="113" t="s">
        <v>102</v>
      </c>
      <c r="D14" s="111">
        <v>1.9</v>
      </c>
      <c r="E14" s="111">
        <v>5</v>
      </c>
      <c r="F14" s="111"/>
      <c r="N14" s="115">
        <v>11</v>
      </c>
      <c r="O14" s="156" t="s">
        <v>103</v>
      </c>
      <c r="P14" s="156"/>
      <c r="Q14" s="156"/>
      <c r="R14" s="156"/>
      <c r="S14" s="156"/>
      <c r="T14" s="156"/>
      <c r="U14" s="156"/>
      <c r="V14" s="156"/>
      <c r="W14" s="156"/>
      <c r="X14" s="156"/>
      <c r="Y14" s="156"/>
      <c r="Z14" s="156"/>
    </row>
    <row r="15" spans="1:26" ht="33" customHeight="1" x14ac:dyDescent="0.25">
      <c r="A15" s="112" t="s">
        <v>104</v>
      </c>
      <c r="B15" s="112" t="s">
        <v>101</v>
      </c>
      <c r="C15" s="113" t="s">
        <v>105</v>
      </c>
      <c r="D15" s="114" t="s">
        <v>106</v>
      </c>
      <c r="E15" s="111">
        <v>6</v>
      </c>
      <c r="F15" s="111"/>
      <c r="N15" s="115">
        <v>12</v>
      </c>
      <c r="O15" s="156" t="s">
        <v>107</v>
      </c>
      <c r="P15" s="156"/>
      <c r="Q15" s="156"/>
      <c r="R15" s="156"/>
      <c r="S15" s="156"/>
      <c r="T15" s="156"/>
      <c r="U15" s="156"/>
      <c r="V15" s="156"/>
      <c r="W15" s="156"/>
      <c r="X15" s="156"/>
      <c r="Y15" s="156"/>
      <c r="Z15" s="156"/>
    </row>
    <row r="16" spans="1:26" ht="33" customHeight="1" x14ac:dyDescent="0.25">
      <c r="A16" s="111"/>
      <c r="C16" s="111"/>
      <c r="E16" s="111"/>
      <c r="F16" s="111"/>
      <c r="N16" s="115">
        <v>13</v>
      </c>
      <c r="O16" s="156" t="s">
        <v>108</v>
      </c>
      <c r="P16" s="156"/>
      <c r="Q16" s="156"/>
      <c r="R16" s="156"/>
      <c r="S16" s="156"/>
      <c r="T16" s="156"/>
      <c r="U16" s="156"/>
      <c r="V16" s="156"/>
      <c r="W16" s="156"/>
      <c r="X16" s="156"/>
      <c r="Y16" s="156"/>
      <c r="Z16" s="156"/>
    </row>
    <row r="17" spans="1:26" ht="15.75" x14ac:dyDescent="0.25">
      <c r="A17" s="110" t="s">
        <v>109</v>
      </c>
      <c r="N17" s="159">
        <v>14</v>
      </c>
      <c r="O17" s="158" t="s">
        <v>110</v>
      </c>
      <c r="P17" s="158"/>
      <c r="Q17" s="158"/>
      <c r="R17" s="158"/>
      <c r="S17" s="158"/>
      <c r="T17" s="158"/>
      <c r="U17" s="158"/>
      <c r="V17" s="158"/>
      <c r="W17" s="158"/>
      <c r="X17" s="158"/>
      <c r="Y17" s="158"/>
      <c r="Z17" s="158"/>
    </row>
    <row r="18" spans="1:26" ht="17.25" x14ac:dyDescent="0.25">
      <c r="A18" s="160" t="s">
        <v>111</v>
      </c>
      <c r="B18" s="161"/>
      <c r="C18" s="60" t="s">
        <v>59</v>
      </c>
      <c r="D18" s="60" t="s">
        <v>112</v>
      </c>
      <c r="E18" s="56" t="s">
        <v>61</v>
      </c>
      <c r="N18" s="159"/>
      <c r="O18" s="158"/>
      <c r="P18" s="158"/>
      <c r="Q18" s="158"/>
      <c r="R18" s="158"/>
      <c r="S18" s="158"/>
      <c r="T18" s="158"/>
      <c r="U18" s="158"/>
      <c r="V18" s="158"/>
      <c r="W18" s="158"/>
      <c r="X18" s="158"/>
      <c r="Y18" s="158"/>
      <c r="Z18" s="158"/>
    </row>
    <row r="19" spans="1:26" ht="15.75" customHeight="1" x14ac:dyDescent="0.25">
      <c r="A19" s="73" t="s">
        <v>113</v>
      </c>
      <c r="B19" s="73"/>
      <c r="C19" t="s">
        <v>114</v>
      </c>
      <c r="D19" s="116">
        <v>1800000</v>
      </c>
      <c r="E19">
        <v>12</v>
      </c>
      <c r="F19" s="56"/>
      <c r="N19" s="159">
        <v>15</v>
      </c>
      <c r="O19" s="158" t="s">
        <v>115</v>
      </c>
      <c r="P19" s="158"/>
      <c r="Q19" s="158"/>
      <c r="R19" s="158"/>
      <c r="S19" s="158"/>
      <c r="T19" s="158"/>
      <c r="U19" s="158"/>
      <c r="V19" s="158"/>
      <c r="W19" s="158"/>
      <c r="X19" s="158"/>
      <c r="Y19" s="158"/>
      <c r="Z19" s="158"/>
    </row>
    <row r="20" spans="1:26" ht="15.75" customHeight="1" x14ac:dyDescent="0.25">
      <c r="A20" s="73" t="s">
        <v>116</v>
      </c>
      <c r="B20" s="73"/>
      <c r="C20" t="s">
        <v>114</v>
      </c>
      <c r="D20" s="116">
        <v>1810000</v>
      </c>
      <c r="E20">
        <v>12</v>
      </c>
      <c r="N20" s="159"/>
      <c r="O20" s="158"/>
      <c r="P20" s="158"/>
      <c r="Q20" s="158"/>
      <c r="R20" s="158"/>
      <c r="S20" s="158"/>
      <c r="T20" s="158"/>
      <c r="U20" s="158"/>
      <c r="V20" s="158"/>
      <c r="W20" s="158"/>
      <c r="X20" s="158"/>
      <c r="Y20" s="158"/>
      <c r="Z20" s="158"/>
    </row>
    <row r="21" spans="1:26" ht="15.75" customHeight="1" x14ac:dyDescent="0.25">
      <c r="A21" s="73" t="s">
        <v>117</v>
      </c>
      <c r="B21" s="73"/>
      <c r="C21" t="s">
        <v>114</v>
      </c>
      <c r="D21" s="116">
        <v>1940000</v>
      </c>
      <c r="E21">
        <v>12</v>
      </c>
      <c r="N21" s="159">
        <v>16</v>
      </c>
      <c r="O21" s="158" t="s">
        <v>118</v>
      </c>
      <c r="P21" s="158"/>
      <c r="Q21" s="158"/>
      <c r="R21" s="158"/>
      <c r="S21" s="158"/>
      <c r="T21" s="158"/>
      <c r="U21" s="158"/>
      <c r="V21" s="158"/>
      <c r="W21" s="158"/>
      <c r="X21" s="158"/>
      <c r="Y21" s="158"/>
      <c r="Z21" s="158"/>
    </row>
    <row r="22" spans="1:26" ht="15.75" customHeight="1" x14ac:dyDescent="0.25">
      <c r="A22" s="73" t="s">
        <v>119</v>
      </c>
      <c r="B22" s="73"/>
      <c r="C22" t="s">
        <v>114</v>
      </c>
      <c r="D22" s="116">
        <v>2180000</v>
      </c>
      <c r="E22">
        <v>12</v>
      </c>
      <c r="N22" s="159"/>
      <c r="O22" s="158"/>
      <c r="P22" s="158"/>
      <c r="Q22" s="158"/>
      <c r="R22" s="158"/>
      <c r="S22" s="158"/>
      <c r="T22" s="158"/>
      <c r="U22" s="158"/>
      <c r="V22" s="158"/>
      <c r="W22" s="158"/>
      <c r="X22" s="158"/>
      <c r="Y22" s="158"/>
      <c r="Z22" s="158"/>
    </row>
    <row r="23" spans="1:26" ht="15.75" customHeight="1" x14ac:dyDescent="0.25">
      <c r="A23" s="73" t="s">
        <v>120</v>
      </c>
      <c r="B23" s="73"/>
      <c r="C23" t="s">
        <v>114</v>
      </c>
      <c r="D23" s="116">
        <v>2390000</v>
      </c>
      <c r="E23">
        <v>12</v>
      </c>
      <c r="N23" s="159">
        <v>17</v>
      </c>
      <c r="O23" s="158" t="s">
        <v>121</v>
      </c>
      <c r="P23" s="158"/>
      <c r="Q23" s="158"/>
      <c r="R23" s="158"/>
      <c r="S23" s="158"/>
      <c r="T23" s="158"/>
      <c r="U23" s="158"/>
      <c r="V23" s="158"/>
      <c r="W23" s="158"/>
      <c r="X23" s="158"/>
      <c r="Y23" s="158"/>
      <c r="Z23" s="158"/>
    </row>
    <row r="24" spans="1:26" ht="15.75" customHeight="1" x14ac:dyDescent="0.25">
      <c r="A24" s="73" t="s">
        <v>122</v>
      </c>
      <c r="B24" s="73"/>
      <c r="C24" t="s">
        <v>114</v>
      </c>
      <c r="D24" s="116">
        <v>2430000</v>
      </c>
      <c r="E24">
        <v>12</v>
      </c>
      <c r="N24" s="159"/>
      <c r="O24" s="158"/>
      <c r="P24" s="158"/>
      <c r="Q24" s="158"/>
      <c r="R24" s="158"/>
      <c r="S24" s="158"/>
      <c r="T24" s="158"/>
      <c r="U24" s="158"/>
      <c r="V24" s="158"/>
      <c r="W24" s="158"/>
      <c r="X24" s="158"/>
      <c r="Y24" s="158"/>
      <c r="Z24" s="158"/>
    </row>
    <row r="25" spans="1:26" ht="15.75" customHeight="1" x14ac:dyDescent="0.25">
      <c r="A25" s="73" t="s">
        <v>123</v>
      </c>
      <c r="B25" s="73"/>
      <c r="C25" t="s">
        <v>114</v>
      </c>
      <c r="D25" s="116">
        <v>2530000</v>
      </c>
      <c r="E25">
        <v>12</v>
      </c>
      <c r="N25" s="159">
        <v>18</v>
      </c>
      <c r="O25" s="158" t="s">
        <v>124</v>
      </c>
      <c r="P25" s="158"/>
      <c r="Q25" s="158"/>
      <c r="R25" s="158"/>
      <c r="S25" s="158"/>
      <c r="T25" s="158"/>
      <c r="U25" s="158"/>
      <c r="V25" s="158"/>
      <c r="W25" s="158"/>
      <c r="X25" s="158"/>
      <c r="Y25" s="158"/>
      <c r="Z25" s="158"/>
    </row>
    <row r="26" spans="1:26" ht="15.75" customHeight="1" x14ac:dyDescent="0.25">
      <c r="A26" s="73" t="s">
        <v>125</v>
      </c>
      <c r="B26" s="73"/>
      <c r="C26" t="s">
        <v>114</v>
      </c>
      <c r="D26" s="116">
        <v>2540000</v>
      </c>
      <c r="E26">
        <v>12</v>
      </c>
      <c r="N26" s="162"/>
      <c r="O26" s="161"/>
      <c r="P26" s="161"/>
      <c r="Q26" s="161"/>
      <c r="R26" s="161"/>
      <c r="S26" s="161"/>
      <c r="T26" s="161"/>
      <c r="U26" s="161"/>
      <c r="V26" s="161"/>
      <c r="W26" s="161"/>
      <c r="X26" s="161"/>
      <c r="Y26" s="161"/>
      <c r="Z26" s="161"/>
    </row>
    <row r="27" spans="1:26" ht="15.75" customHeight="1" x14ac:dyDescent="0.25">
      <c r="A27" s="73" t="s">
        <v>126</v>
      </c>
      <c r="B27" s="73"/>
      <c r="C27" t="s">
        <v>114</v>
      </c>
      <c r="D27" s="116">
        <v>2770000</v>
      </c>
      <c r="E27">
        <v>12</v>
      </c>
      <c r="N27" s="158">
        <v>19</v>
      </c>
      <c r="O27" s="158" t="s">
        <v>127</v>
      </c>
      <c r="P27" s="158"/>
      <c r="Q27" s="158"/>
      <c r="R27" s="158"/>
      <c r="S27" s="158"/>
      <c r="T27" s="158"/>
      <c r="U27" s="158"/>
      <c r="V27" s="158"/>
      <c r="W27" s="158"/>
      <c r="X27" s="158"/>
      <c r="Y27" s="158"/>
      <c r="Z27" s="158"/>
    </row>
    <row r="28" spans="1:26" ht="15.75" customHeight="1" x14ac:dyDescent="0.25">
      <c r="A28" s="73" t="s">
        <v>128</v>
      </c>
      <c r="B28" s="73"/>
      <c r="C28" t="s">
        <v>114</v>
      </c>
      <c r="D28" s="116">
        <v>2890000</v>
      </c>
      <c r="E28">
        <v>12</v>
      </c>
      <c r="N28" s="158"/>
      <c r="O28" s="158"/>
      <c r="P28" s="158"/>
      <c r="Q28" s="158"/>
      <c r="R28" s="158"/>
      <c r="S28" s="158"/>
      <c r="T28" s="158"/>
      <c r="U28" s="158"/>
      <c r="V28" s="158"/>
      <c r="W28" s="158"/>
      <c r="X28" s="158"/>
      <c r="Y28" s="158"/>
      <c r="Z28" s="158"/>
    </row>
    <row r="29" spans="1:26" ht="15.75" customHeight="1" x14ac:dyDescent="0.25">
      <c r="N29" s="158">
        <v>20</v>
      </c>
      <c r="O29" s="158" t="s">
        <v>129</v>
      </c>
      <c r="P29" s="158"/>
      <c r="Q29" s="158"/>
      <c r="R29" s="158"/>
      <c r="S29" s="158"/>
      <c r="T29" s="158"/>
      <c r="U29" s="158"/>
      <c r="V29" s="158"/>
      <c r="W29" s="158"/>
      <c r="X29" s="158"/>
      <c r="Y29" s="158"/>
      <c r="Z29" s="158"/>
    </row>
    <row r="30" spans="1:26" x14ac:dyDescent="0.25">
      <c r="N30" s="158"/>
      <c r="O30" s="158"/>
      <c r="P30" s="158"/>
      <c r="Q30" s="158"/>
      <c r="R30" s="158"/>
      <c r="S30" s="158"/>
      <c r="T30" s="158"/>
      <c r="U30" s="158"/>
      <c r="V30" s="158"/>
      <c r="W30" s="158"/>
      <c r="X30" s="158"/>
      <c r="Y30" s="158"/>
      <c r="Z30" s="158"/>
    </row>
    <row r="31" spans="1:26" ht="15.75" x14ac:dyDescent="0.25">
      <c r="A31" s="110" t="s">
        <v>130</v>
      </c>
      <c r="N31" s="158">
        <v>21</v>
      </c>
      <c r="O31" s="158" t="s">
        <v>131</v>
      </c>
      <c r="P31" s="158"/>
      <c r="Q31" s="158"/>
      <c r="R31" s="158"/>
      <c r="S31" s="158"/>
      <c r="T31" s="158"/>
      <c r="U31" s="158"/>
      <c r="V31" s="158"/>
      <c r="W31" s="158"/>
      <c r="X31" s="158"/>
      <c r="Y31" s="158"/>
      <c r="Z31" s="158"/>
    </row>
    <row r="32" spans="1:26" x14ac:dyDescent="0.25">
      <c r="A32" s="56" t="s">
        <v>132</v>
      </c>
      <c r="B32" s="56" t="s">
        <v>13</v>
      </c>
      <c r="C32" s="60"/>
      <c r="D32" s="56" t="s">
        <v>130</v>
      </c>
      <c r="E32" s="111"/>
      <c r="N32" s="158"/>
      <c r="O32" s="158"/>
      <c r="P32" s="158"/>
      <c r="Q32" s="158"/>
      <c r="R32" s="158"/>
      <c r="S32" s="158"/>
      <c r="T32" s="158"/>
      <c r="U32" s="158"/>
      <c r="V32" s="158"/>
      <c r="W32" s="158"/>
      <c r="X32" s="158"/>
      <c r="Y32" s="158"/>
      <c r="Z32" s="158"/>
    </row>
    <row r="33" spans="1:26" x14ac:dyDescent="0.25">
      <c r="A33" s="56" t="s">
        <v>133</v>
      </c>
      <c r="B33" s="56" t="s">
        <v>134</v>
      </c>
      <c r="C33" s="60" t="s">
        <v>59</v>
      </c>
      <c r="D33" s="56" t="s">
        <v>135</v>
      </c>
      <c r="E33" s="56" t="s">
        <v>61</v>
      </c>
      <c r="F33" s="111"/>
      <c r="N33" s="158">
        <v>22</v>
      </c>
      <c r="O33" s="158" t="s">
        <v>136</v>
      </c>
      <c r="P33" s="158"/>
      <c r="Q33" s="158"/>
      <c r="R33" s="158"/>
      <c r="S33" s="158"/>
      <c r="T33" s="158"/>
      <c r="U33" s="158"/>
      <c r="V33" s="158"/>
      <c r="W33" s="158"/>
      <c r="X33" s="158"/>
      <c r="Y33" s="158"/>
      <c r="Z33" s="158"/>
    </row>
    <row r="34" spans="1:26" x14ac:dyDescent="0.25">
      <c r="A34" s="161" t="s">
        <v>137</v>
      </c>
      <c r="B34" s="111">
        <v>0</v>
      </c>
      <c r="C34" s="158" t="s">
        <v>138</v>
      </c>
      <c r="D34" s="111">
        <v>0.93</v>
      </c>
      <c r="E34" s="158">
        <v>13</v>
      </c>
      <c r="F34" s="56"/>
      <c r="N34" s="158"/>
      <c r="O34" s="158"/>
      <c r="P34" s="158"/>
      <c r="Q34" s="158"/>
      <c r="R34" s="158"/>
      <c r="S34" s="158"/>
      <c r="T34" s="158"/>
      <c r="U34" s="158"/>
      <c r="V34" s="158"/>
      <c r="W34" s="158"/>
      <c r="X34" s="158"/>
      <c r="Y34" s="158"/>
      <c r="Z34" s="158"/>
    </row>
    <row r="35" spans="1:26" x14ac:dyDescent="0.25">
      <c r="A35" s="161"/>
      <c r="B35" s="111">
        <v>30</v>
      </c>
      <c r="C35" s="158"/>
      <c r="D35" s="111">
        <v>0.8</v>
      </c>
      <c r="E35" s="158"/>
      <c r="N35">
        <v>23</v>
      </c>
      <c r="O35" s="161" t="s">
        <v>139</v>
      </c>
      <c r="P35" s="161"/>
      <c r="Q35" s="161"/>
      <c r="R35" s="161"/>
      <c r="S35" s="161"/>
      <c r="T35" s="161"/>
      <c r="U35" s="161"/>
      <c r="V35" s="161"/>
      <c r="W35" s="161"/>
      <c r="X35" s="161"/>
      <c r="Y35" s="161"/>
      <c r="Z35" s="161"/>
    </row>
    <row r="36" spans="1:26" x14ac:dyDescent="0.25">
      <c r="A36" s="161" t="s">
        <v>140</v>
      </c>
      <c r="B36" s="111">
        <v>0</v>
      </c>
      <c r="C36" s="158" t="s">
        <v>138</v>
      </c>
      <c r="D36" s="111" t="s">
        <v>141</v>
      </c>
      <c r="E36" s="158">
        <v>14</v>
      </c>
      <c r="O36" s="161"/>
      <c r="P36" s="161"/>
      <c r="Q36" s="161"/>
      <c r="R36" s="161"/>
      <c r="S36" s="161"/>
      <c r="T36" s="161"/>
      <c r="U36" s="161"/>
      <c r="V36" s="161"/>
      <c r="W36" s="161"/>
      <c r="X36" s="161"/>
      <c r="Y36" s="161"/>
      <c r="Z36" s="161"/>
    </row>
    <row r="37" spans="1:26" x14ac:dyDescent="0.25">
      <c r="A37" s="161"/>
      <c r="B37" s="111">
        <v>16</v>
      </c>
      <c r="C37" s="158"/>
      <c r="D37" s="111" t="s">
        <v>142</v>
      </c>
      <c r="E37" s="158"/>
    </row>
    <row r="38" spans="1:26" x14ac:dyDescent="0.25">
      <c r="A38" s="161" t="s">
        <v>143</v>
      </c>
      <c r="B38" s="111">
        <v>0</v>
      </c>
      <c r="C38" s="158" t="s">
        <v>138</v>
      </c>
      <c r="D38" s="111" t="s">
        <v>144</v>
      </c>
      <c r="E38" s="158">
        <v>15</v>
      </c>
    </row>
    <row r="39" spans="1:26" x14ac:dyDescent="0.25">
      <c r="A39" s="161"/>
      <c r="B39" s="111">
        <v>70</v>
      </c>
      <c r="C39" s="158"/>
      <c r="D39" s="111" t="s">
        <v>145</v>
      </c>
      <c r="E39" s="158"/>
    </row>
    <row r="40" spans="1:26" x14ac:dyDescent="0.25">
      <c r="A40" s="161" t="s">
        <v>146</v>
      </c>
      <c r="B40" s="111">
        <v>0</v>
      </c>
      <c r="C40" s="158" t="s">
        <v>147</v>
      </c>
      <c r="D40" s="111">
        <v>0.9</v>
      </c>
      <c r="E40" s="158">
        <v>16</v>
      </c>
    </row>
    <row r="41" spans="1:26" x14ac:dyDescent="0.25">
      <c r="A41" s="161"/>
      <c r="B41" s="111">
        <v>65</v>
      </c>
      <c r="C41" s="158"/>
      <c r="D41" s="111">
        <v>0.4</v>
      </c>
      <c r="E41" s="158"/>
    </row>
    <row r="42" spans="1:26" x14ac:dyDescent="0.25">
      <c r="A42" s="161" t="s">
        <v>148</v>
      </c>
      <c r="B42" s="111">
        <v>0</v>
      </c>
      <c r="C42" s="158" t="s">
        <v>138</v>
      </c>
      <c r="D42" s="111">
        <v>0.96</v>
      </c>
      <c r="E42" s="158">
        <v>17</v>
      </c>
    </row>
    <row r="43" spans="1:26" x14ac:dyDescent="0.25">
      <c r="A43" s="161"/>
      <c r="B43" s="111">
        <v>30</v>
      </c>
      <c r="C43" s="158"/>
      <c r="D43" s="111">
        <v>0.61</v>
      </c>
      <c r="E43" s="158"/>
    </row>
    <row r="44" spans="1:26" x14ac:dyDescent="0.25">
      <c r="A44" s="161" t="s">
        <v>149</v>
      </c>
      <c r="B44" s="111">
        <v>0</v>
      </c>
      <c r="C44" s="158" t="s">
        <v>138</v>
      </c>
      <c r="D44" t="s">
        <v>150</v>
      </c>
      <c r="E44" s="158">
        <v>18</v>
      </c>
    </row>
    <row r="45" spans="1:26" x14ac:dyDescent="0.25">
      <c r="A45" s="161"/>
      <c r="B45" s="111">
        <v>20</v>
      </c>
      <c r="C45" s="158"/>
      <c r="D45" t="s">
        <v>151</v>
      </c>
      <c r="E45" s="158"/>
    </row>
    <row r="46" spans="1:26" x14ac:dyDescent="0.25">
      <c r="A46" s="161" t="s">
        <v>152</v>
      </c>
      <c r="B46" s="111">
        <v>0</v>
      </c>
      <c r="C46" s="158" t="s">
        <v>138</v>
      </c>
      <c r="D46" s="111">
        <v>0.8</v>
      </c>
      <c r="E46" s="158">
        <v>19</v>
      </c>
    </row>
    <row r="47" spans="1:26" x14ac:dyDescent="0.25">
      <c r="A47" s="161"/>
      <c r="B47" s="111">
        <v>500</v>
      </c>
      <c r="C47" s="158"/>
      <c r="D47" s="111">
        <v>0.7</v>
      </c>
      <c r="E47" s="158"/>
    </row>
    <row r="48" spans="1:26" x14ac:dyDescent="0.25">
      <c r="A48" s="161" t="s">
        <v>153</v>
      </c>
      <c r="B48" s="111">
        <v>0</v>
      </c>
      <c r="C48" s="158" t="s">
        <v>138</v>
      </c>
      <c r="D48" s="111">
        <v>0.97</v>
      </c>
      <c r="E48" s="158">
        <v>20</v>
      </c>
    </row>
    <row r="49" spans="1:5" x14ac:dyDescent="0.25">
      <c r="A49" s="161"/>
      <c r="B49" s="111">
        <v>48</v>
      </c>
      <c r="C49" s="158"/>
      <c r="D49" s="111">
        <v>0.87</v>
      </c>
      <c r="E49" s="158"/>
    </row>
    <row r="50" spans="1:5" x14ac:dyDescent="0.25">
      <c r="A50" s="161" t="s">
        <v>154</v>
      </c>
      <c r="B50" s="111">
        <v>0</v>
      </c>
      <c r="C50" s="158" t="s">
        <v>138</v>
      </c>
      <c r="D50" s="111">
        <v>0.9</v>
      </c>
      <c r="E50" s="158">
        <v>21</v>
      </c>
    </row>
    <row r="51" spans="1:5" x14ac:dyDescent="0.25">
      <c r="A51" s="161"/>
      <c r="B51" s="111">
        <v>25</v>
      </c>
      <c r="C51" s="158"/>
      <c r="D51" s="111">
        <v>0.7</v>
      </c>
      <c r="E51" s="158"/>
    </row>
    <row r="52" spans="1:5" x14ac:dyDescent="0.25">
      <c r="A52" s="161" t="s">
        <v>155</v>
      </c>
      <c r="B52" s="111">
        <v>0</v>
      </c>
      <c r="C52" s="158" t="s">
        <v>138</v>
      </c>
      <c r="D52" s="111">
        <v>0.4</v>
      </c>
      <c r="E52" s="158">
        <v>22</v>
      </c>
    </row>
    <row r="53" spans="1:5" x14ac:dyDescent="0.25">
      <c r="A53" s="161"/>
      <c r="B53" s="111">
        <v>10</v>
      </c>
      <c r="C53" s="158"/>
      <c r="D53" s="111">
        <v>0.4</v>
      </c>
      <c r="E53" s="158"/>
    </row>
    <row r="54" spans="1:5" x14ac:dyDescent="0.25">
      <c r="A54" s="163" t="s">
        <v>156</v>
      </c>
      <c r="B54" s="111">
        <v>0</v>
      </c>
      <c r="C54" s="158" t="s">
        <v>147</v>
      </c>
      <c r="D54" s="111">
        <v>0.38</v>
      </c>
      <c r="E54" s="158">
        <v>23</v>
      </c>
    </row>
    <row r="55" spans="1:5" x14ac:dyDescent="0.25">
      <c r="A55" s="161"/>
      <c r="B55" s="111">
        <v>26</v>
      </c>
      <c r="C55" s="158"/>
      <c r="D55" s="111">
        <v>0.43</v>
      </c>
      <c r="E55" s="158"/>
    </row>
  </sheetData>
  <mergeCells count="68">
    <mergeCell ref="A54:A55"/>
    <mergeCell ref="C54:C55"/>
    <mergeCell ref="E54:E55"/>
    <mergeCell ref="A50:A51"/>
    <mergeCell ref="C50:C51"/>
    <mergeCell ref="E50:E51"/>
    <mergeCell ref="A52:A53"/>
    <mergeCell ref="C52:C53"/>
    <mergeCell ref="E52:E53"/>
    <mergeCell ref="A46:A47"/>
    <mergeCell ref="C46:C47"/>
    <mergeCell ref="E46:E47"/>
    <mergeCell ref="A48:A49"/>
    <mergeCell ref="C48:C49"/>
    <mergeCell ref="E48:E49"/>
    <mergeCell ref="A42:A43"/>
    <mergeCell ref="C42:C43"/>
    <mergeCell ref="E42:E43"/>
    <mergeCell ref="A44:A45"/>
    <mergeCell ref="C44:C45"/>
    <mergeCell ref="E44:E45"/>
    <mergeCell ref="A38:A39"/>
    <mergeCell ref="C38:C39"/>
    <mergeCell ref="E38:E39"/>
    <mergeCell ref="A40:A41"/>
    <mergeCell ref="C40:C41"/>
    <mergeCell ref="E40:E41"/>
    <mergeCell ref="N31:N32"/>
    <mergeCell ref="O31:Z32"/>
    <mergeCell ref="N33:N34"/>
    <mergeCell ref="O33:Z34"/>
    <mergeCell ref="A34:A35"/>
    <mergeCell ref="C34:C35"/>
    <mergeCell ref="E34:E35"/>
    <mergeCell ref="O35:Z36"/>
    <mergeCell ref="A36:A37"/>
    <mergeCell ref="C36:C37"/>
    <mergeCell ref="E36:E37"/>
    <mergeCell ref="N25:N26"/>
    <mergeCell ref="O25:Z26"/>
    <mergeCell ref="N27:N28"/>
    <mergeCell ref="O27:Z28"/>
    <mergeCell ref="N29:N30"/>
    <mergeCell ref="O29:Z30"/>
    <mergeCell ref="N19:N20"/>
    <mergeCell ref="O19:Z20"/>
    <mergeCell ref="N21:N22"/>
    <mergeCell ref="O21:Z22"/>
    <mergeCell ref="N23:N24"/>
    <mergeCell ref="O23:Z24"/>
    <mergeCell ref="A18:B18"/>
    <mergeCell ref="O8:Z8"/>
    <mergeCell ref="O9:Z9"/>
    <mergeCell ref="O10:Z10"/>
    <mergeCell ref="O11:Z11"/>
    <mergeCell ref="O12:Z12"/>
    <mergeCell ref="O13:Z13"/>
    <mergeCell ref="O14:Z14"/>
    <mergeCell ref="O15:Z15"/>
    <mergeCell ref="O16:Z16"/>
    <mergeCell ref="N17:N18"/>
    <mergeCell ref="O17:Z18"/>
    <mergeCell ref="O7:Z7"/>
    <mergeCell ref="N2:N3"/>
    <mergeCell ref="O2:Z3"/>
    <mergeCell ref="N4:N5"/>
    <mergeCell ref="O4:Z5"/>
    <mergeCell ref="O6:Z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
  <sheetViews>
    <sheetView showGridLines="0" showRowColHeaders="0" workbookViewId="0">
      <selection activeCell="H30" sqref="H30"/>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Tutorial</vt:lpstr>
      <vt:lpstr>Hatch</vt:lpstr>
      <vt:lpstr>McCallum</vt:lpstr>
      <vt:lpstr>TestData</vt:lpstr>
      <vt:lpstr>ParameterReference</vt: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ctsuser</dc:creator>
  <cp:lastModifiedBy>Jacob S</cp:lastModifiedBy>
  <dcterms:created xsi:type="dcterms:W3CDTF">2016-07-18T18:05:00Z</dcterms:created>
  <dcterms:modified xsi:type="dcterms:W3CDTF">2018-12-05T14:15:47Z</dcterms:modified>
</cp:coreProperties>
</file>